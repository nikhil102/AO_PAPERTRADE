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7a161fb53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db38bf3eb7ee4ccb"/>
    <x:sheet xmlns:r="http://schemas.openxmlformats.org/officeDocument/2006/relationships" name="workload_calcs" sheetId="2" r:id="R8c2e7e1c2330495d"/>
    <x:sheet xmlns:r="http://schemas.openxmlformats.org/officeDocument/2006/relationships" name="eks_compute_budget" sheetId="3" r:id="R42082f7ca91e46cf"/>
    <x:sheet xmlns:r="http://schemas.openxmlformats.org/officeDocument/2006/relationships" name="airflow" sheetId="4" r:id="R52faaad6fdb740f2"/>
    <x:sheet xmlns:r="http://schemas.openxmlformats.org/officeDocument/2006/relationships" name="mwaa" sheetId="5" r:id="Re52da5e7898f4863"/>
    <x:sheet xmlns:r="http://schemas.openxmlformats.org/officeDocument/2006/relationships" name="budget_summary" sheetId="6" r:id="Rc1a9e02bb32b45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%"/>
    <x:numFmt numFmtId="165" formatCode="$#,##0.00"/>
    <x:numFmt numFmtId="166" formatCode="#,##0.0"/>
  </x:numFmts>
  <x:fonts count="6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b/>
      <x:sz val="12"/>
      <x:color rgb="00FFFFFF"/>
    </x:font>
    <x:font>
      <x:b/>
      <x:sz val="11"/>
      <x:color rgb="00FFFFFF"/>
    </x:font>
    <x:font>
      <x:color rgb="000000FF"/>
    </x:font>
    <x:font>
      <x:b/>
    </x:font>
  </x:fonts>
  <x:fills count="5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2F5597"/>
      </x:patternFill>
    </x:fill>
    <x:fill>
      <x:patternFill patternType="solid">
        <x:fgColor rgb="00305496"/>
      </x:patternFill>
    </x:fill>
  </x:fills>
  <x:borders count="6">
    <x:border>
      <x:left/>
      <x:right/>
      <x:top/>
      <x:bottom/>
      <x:diagonal/>
    </x:border>
    <x:border>
      <x:left style="thin">
        <x:color rgb="009E9E9E"/>
      </x:left>
      <x:right style="thin">
        <x:color rgb="009E9E9E"/>
      </x:right>
      <x:top style="thin">
        <x:color rgb="009E9E9E"/>
      </x:top>
      <x:bottom style="thin">
        <x:color rgb="009E9E9E"/>
      </x:bottom>
    </x:border>
    <x:border>
      <x:left/>
      <x:right/>
      <x:top style="thin">
        <x:color rgb="009E9E9E"/>
      </x:top>
      <x:bottom/>
      <x:diagonal/>
    </x:border>
    <x:border>
      <x:left/>
      <x:right style="thin">
        <x:color rgb="009E9E9E"/>
      </x:right>
      <x:top style="thin">
        <x:color rgb="009E9E9E"/>
      </x:top>
      <x:bottom/>
      <x:diagonal/>
    </x:border>
    <x:border>
      <x:left/>
      <x:right/>
      <x:top style="thin">
        <x:color rgb="009E9E9E"/>
      </x:top>
      <x:bottom style="thin">
        <x:color rgb="009E9E9E"/>
      </x:bottom>
      <x:diagonal/>
    </x:border>
    <x:border>
      <x:left/>
      <x:right style="thin">
        <x:color rgb="009E9E9E"/>
      </x:right>
      <x:top style="thin">
        <x:color rgb="009E9E9E"/>
      </x:top>
      <x:bottom style="thin">
        <x:color rgb="009E9E9E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3" borderId="0" xfId="0" applyAlignment="1">
      <x:alignment horizontal="left" vertical="center" wrapText="1"/>
    </x:xf>
    <x:xf numFmtId="0" fontId="3" fillId="4" borderId="1" xfId="0" applyAlignment="1">
      <x:alignment horizontal="center" vertical="center" wrapText="1"/>
    </x:xf>
    <x:xf numFmtId="0" fontId="0" fillId="0" borderId="1" xfId="0" applyAlignment="1">
      <x:alignment horizontal="left" vertical="center" wrapText="1"/>
    </x:xf>
    <x:xf numFmtId="3" fontId="4" fillId="0" borderId="1" xfId="0" applyAlignment="1">
      <x:alignment horizontal="center" vertical="center" wrapText="1"/>
    </x:xf>
    <x:xf numFmtId="0" fontId="0" fillId="0" borderId="1" xfId="0" applyAlignment="1">
      <x:alignment horizontal="center" vertical="center" wrapText="1"/>
    </x:xf>
    <x:xf numFmtId="164" fontId="4" fillId="0" borderId="1" xfId="0" applyAlignment="1">
      <x:alignment horizontal="center" vertical="center" wrapText="1"/>
    </x:xf>
    <x:xf numFmtId="2" fontId="4" fillId="0" borderId="1" xfId="0" applyAlignment="1">
      <x:alignment horizontal="center" vertical="center" wrapText="1"/>
    </x:xf>
    <x:xf numFmtId="1" fontId="4" fillId="0" borderId="1" xfId="0" applyAlignment="1">
      <x:alignment horizontal="center" vertical="center" wrapText="1"/>
    </x:xf>
    <x:xf numFmtId="165" fontId="4" fillId="0" borderId="1" xfId="0" applyAlignment="1">
      <x:alignment horizontal="center" vertical="center" wrapText="1"/>
    </x:xf>
    <x:xf numFmtId="2" fontId="0" fillId="0" borderId="1" xfId="0" applyAlignment="1">
      <x:alignment horizontal="center" vertical="center" wrapText="1"/>
    </x:xf>
    <x:xf numFmtId="4" fontId="0" fillId="0" borderId="1" xfId="0" applyAlignment="1">
      <x:alignment horizontal="center" vertical="center" wrapText="1"/>
    </x:xf>
    <x:xf numFmtId="166" fontId="0" fillId="0" borderId="1" xfId="0" applyAlignment="1">
      <x:alignment horizontal="center" vertical="center" wrapText="1"/>
    </x:xf>
    <x:xf numFmtId="0" fontId="0" fillId="0" borderId="1" xfId="0"/>
    <x:xf numFmtId="2" fontId="0" fillId="0" borderId="1" xfId="0"/>
    <x:xf numFmtId="0" fontId="2" fillId="3" borderId="1" xfId="0" applyAlignment="1">
      <x:alignment horizontal="left" vertical="center" wrapText="1"/>
    </x:xf>
    <x:xf numFmtId="2" fontId="3" fillId="4" borderId="1" xfId="0" applyAlignment="1">
      <x:alignment horizontal="center" vertical="center" wrapText="1"/>
    </x:xf>
    <x:xf numFmtId="2" fontId="4" fillId="0" borderId="1" xfId="0"/>
    <x:xf numFmtId="1" fontId="0" fillId="0" borderId="1" xfId="0" applyAlignment="1">
      <x:alignment horizontal="center" vertical="center" wrapText="1"/>
    </x:xf>
    <x:xf numFmtId="165" fontId="0" fillId="0" borderId="1" xfId="0" applyAlignment="1">
      <x:alignment horizontal="center" vertical="center" wrapText="1"/>
    </x:xf>
    <x:xf numFmtId="0" fontId="5" fillId="0" borderId="1" xfId="0"/>
    <x:xf numFmtId="165" fontId="5" fillId="0" borderId="1" xfId="0"/>
    <x:xf numFmtId="0" fontId="4" fillId="0" borderId="1" xfId="0" applyAlignment="1">
      <x:alignment horizontal="center" vertical="center" wrapText="1"/>
    </x:xf>
    <x:xf numFmtId="0" fontId="0" fillId="0" borderId="4" xfId="0"/>
    <x:xf numFmtId="0" fontId="0" fillId="0" borderId="5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c8b24af7c44149" /><Relationship Type="http://schemas.openxmlformats.org/officeDocument/2006/relationships/theme" Target="/xl/theme/theme1.xml" Id="R0b8f8df61dcb4bb8" /><Relationship Type="http://schemas.openxmlformats.org/officeDocument/2006/relationships/sharedStrings" Target="/xl/sharedStrings.xml" Id="R3963894145eb4d2b" /><Relationship Type="http://schemas.openxmlformats.org/officeDocument/2006/relationships/worksheet" Target="/xl/worksheets/sheet1.xml" Id="Rdb38bf3eb7ee4ccb" /><Relationship Type="http://schemas.openxmlformats.org/officeDocument/2006/relationships/worksheet" Target="/xl/worksheets/sheet2.xml" Id="R8c2e7e1c2330495d" /><Relationship Type="http://schemas.openxmlformats.org/officeDocument/2006/relationships/worksheet" Target="/xl/worksheets/sheet3.xml" Id="R42082f7ca91e46cf" /><Relationship Type="http://schemas.openxmlformats.org/officeDocument/2006/relationships/worksheet" Target="/xl/worksheets/sheet4.xml" Id="R52faaad6fdb740f2" /><Relationship Type="http://schemas.openxmlformats.org/officeDocument/2006/relationships/worksheet" Target="/xl/worksheets/sheet5.xml" Id="Re52da5e7898f4863" /><Relationship Type="http://schemas.openxmlformats.org/officeDocument/2006/relationships/worksheet" Target="/xl/worksheets/sheet6.xml" Id="Rc1a9e02bb32b458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customWidth="1"/>
    <x:col min="2" max="2" width="14" customWidth="1"/>
    <x:col min="3" max="3" width="14" customWidth="1"/>
    <x:col min="4" max="4" width="14" customWidth="1"/>
    <x:col min="5" max="5" width="30" customWidth="1"/>
    <x:col min="6" max="6" width="10" customWidth="1"/>
  </x:cols>
  <x:sheetData>
    <x:row r="1" ht="28" customHeight="1">
      <x:c r="A1" s="1" t="inlineStr">
        <x:is>
          <x:t xml:space="preserve">Inputs (Workload + Pricing) — us-east-1 (N. Virginia)</x:t>
        </x:is>
      </x:c>
    </x:row>
    <x:row r="2"/>
    <x:row r="3">
      <x:c r="A3" s="2" t="inlineStr">
        <x:is>
          <x:t xml:space="preserve">Workload volumes</x:t>
        </x:is>
      </x:c>
    </x:row>
    <x:row r="4" ht="20" customHeight="1">
      <x:c r="A4" s="3" t="inlineStr">
        <x:is>
          <x:t xml:space="preserve">Metric</x:t>
        </x:is>
      </x:c>
      <x:c r="B4" s="3" t="inlineStr">
        <x:is>
          <x:t xml:space="preserve">Min</x:t>
        </x:is>
      </x:c>
      <x:c r="C4" s="3" t="inlineStr">
        <x:is>
          <x:t xml:space="preserve">Max</x:t>
        </x:is>
      </x:c>
      <x:c r="D4" s="3" t="inlineStr">
        <x:is>
          <x:t xml:space="preserve">Unit</x:t>
        </x:is>
      </x:c>
      <x:c r="E4" s="3" t="inlineStr">
        <x:is>
          <x:t xml:space="preserve">Notes</x:t>
        </x:is>
      </x:c>
      <x:c r="F4" s="3" t="inlineStr">
        <x:is>
          <x:t xml:space="preserve">Editable?</x:t>
        </x:is>
      </x:c>
    </x:row>
    <x:row r="5">
      <x:c r="A5" s="4" t="inlineStr">
        <x:is>
          <x:t xml:space="preserve">Monthly total PySpark jobs</x:t>
        </x:is>
      </x:c>
      <x:c r="B5" s="5" t="n">
        <x:v>28000</x:v>
      </x:c>
      <x:c r="C5" s="5" t="n">
        <x:v>50000</x:v>
      </x:c>
      <x:c r="D5" s="6" t="inlineStr">
        <x:is>
          <x:t xml:space="preserve">jobs/month</x:t>
        </x:is>
      </x:c>
      <x:c r="E5" s="4" t="inlineStr">
        <x:is>
          <x:t xml:space="preserve"/>
        </x:is>
      </x:c>
      <x:c r="F5" s="6" t="inlineStr">
        <x:is>
          <x:t xml:space="preserve">Yes</x:t>
        </x:is>
      </x:c>
    </x:row>
    <x:row r="6">
      <x:c r="A6" s="4" t="inlineStr">
        <x:is>
          <x:t xml:space="preserve">Daily total PySpark jobs</x:t>
        </x:is>
      </x:c>
      <x:c r="B6" s="5" t="n">
        <x:v>1200</x:v>
      </x:c>
      <x:c r="C6" s="5" t="n">
        <x:v>1800</x:v>
      </x:c>
      <x:c r="D6" s="6" t="inlineStr">
        <x:is>
          <x:t xml:space="preserve">jobs/day</x:t>
        </x:is>
      </x:c>
      <x:c r="E6" s="4" t="inlineStr">
        <x:is>
          <x:t xml:space="preserve"/>
        </x:is>
      </x:c>
      <x:c r="F6" s="6" t="inlineStr">
        <x:is>
          <x:t xml:space="preserve">Yes</x:t>
        </x:is>
      </x:c>
    </x:row>
    <x:row r="7">
      <x:c r="A7" s="4" t="inlineStr">
        <x:is>
          <x:t xml:space="preserve">Hourly total PySpark jobs</x:t>
        </x:is>
      </x:c>
      <x:c r="B7" s="5" t="n">
        <x:v>120</x:v>
      </x:c>
      <x:c r="C7" s="5" t="n">
        <x:v>150</x:v>
      </x:c>
      <x:c r="D7" s="6" t="inlineStr">
        <x:is>
          <x:t xml:space="preserve">jobs/hour</x:t>
        </x:is>
      </x:c>
      <x:c r="E7" s="4" t="inlineStr">
        <x:is>
          <x:t xml:space="preserve">Peak arrival / start rate</x:t>
        </x:is>
      </x:c>
      <x:c r="F7" s="6" t="inlineStr">
        <x:is>
          <x:t xml:space="preserve">Yes</x:t>
        </x:is>
      </x:c>
    </x:row>
    <x:row r="8">
      <x:c r="A8" s="4" t="inlineStr">
        <x:is>
          <x:t xml:space="preserve">Small job share</x:t>
        </x:is>
      </x:c>
      <x:c r="B8" s="7" t="n">
        <x:v>0.8</x:v>
      </x:c>
      <x:c r="C8" s="7" t="n">
        <x:v>0.8</x:v>
      </x:c>
      <x:c r="D8" s="6" t="inlineStr">
        <x:is>
          <x:t xml:space="preserve">%</x:t>
        </x:is>
      </x:c>
      <x:c r="E8" s="4" t="inlineStr">
        <x:is>
          <x:t xml:space="preserve">Fraction of jobs</x:t>
        </x:is>
      </x:c>
      <x:c r="F8" s="6" t="inlineStr">
        <x:is>
          <x:t xml:space="preserve">Yes</x:t>
        </x:is>
      </x:c>
    </x:row>
    <x:row r="9">
      <x:c r="A9" s="4" t="inlineStr">
        <x:is>
          <x:t xml:space="preserve">Small job data per job</x:t>
        </x:is>
      </x:c>
      <x:c r="B9" s="8" t="n">
        <x:v>0.2</x:v>
      </x:c>
      <x:c r="C9" s="8" t="n">
        <x:v>0.2</x:v>
      </x:c>
      <x:c r="D9" s="6" t="inlineStr">
        <x:is>
          <x:t xml:space="preserve">GB/job</x:t>
        </x:is>
      </x:c>
      <x:c r="E9" s="4" t="inlineStr">
        <x:is>
          <x:t xml:space="preserve">200 MB ≈ 0.20 GB</x:t>
        </x:is>
      </x:c>
      <x:c r="F9" s="6" t="inlineStr">
        <x:is>
          <x:t xml:space="preserve">Yes</x:t>
        </x:is>
      </x:c>
    </x:row>
    <x:row r="10">
      <x:c r="A10" s="4" t="inlineStr">
        <x:is>
          <x:t xml:space="preserve">Large job share</x:t>
        </x:is>
      </x:c>
      <x:c r="B10" s="7" t="n">
        <x:v>0.2</x:v>
      </x:c>
      <x:c r="C10" s="7" t="n">
        <x:v>0.2</x:v>
      </x:c>
      <x:c r="D10" s="6" t="inlineStr">
        <x:is>
          <x:t xml:space="preserve">%</x:t>
        </x:is>
      </x:c>
      <x:c r="E10" s="4" t="inlineStr">
        <x:is>
          <x:t xml:space="preserve">Fraction of jobs</x:t>
        </x:is>
      </x:c>
      <x:c r="F10" s="6" t="inlineStr">
        <x:is>
          <x:t xml:space="preserve">Yes</x:t>
        </x:is>
      </x:c>
    </x:row>
    <x:row r="11">
      <x:c r="A11" s="4" t="inlineStr">
        <x:is>
          <x:t xml:space="preserve">Large job data per job</x:t>
        </x:is>
      </x:c>
      <x:c r="B11" s="8" t="n">
        <x:v>3</x:v>
      </x:c>
      <x:c r="C11" s="8" t="n">
        <x:v>3</x:v>
      </x:c>
      <x:c r="D11" s="6" t="inlineStr">
        <x:is>
          <x:t xml:space="preserve">GB/job</x:t>
        </x:is>
      </x:c>
      <x:c r="E11" s="4" t="inlineStr">
        <x:is>
          <x:t xml:space="preserve"/>
        </x:is>
      </x:c>
      <x:c r="F11" s="6" t="inlineStr">
        <x:is>
          <x:t xml:space="preserve">Yes</x:t>
        </x:is>
      </x:c>
    </x:row>
    <x:row r="12">
      <x:c r="A12" s="4" t="inlineStr">
        <x:is>
          <x:t xml:space="preserve">Max data processed by some job</x:t>
        </x:is>
      </x:c>
      <x:c r="B12" s="8" t="n">
        <x:v>6</x:v>
      </x:c>
      <x:c r="C12" s="8" t="n">
        <x:v>6</x:v>
      </x:c>
      <x:c r="D12" s="6" t="inlineStr">
        <x:is>
          <x:t xml:space="preserve">GB/job</x:t>
        </x:is>
      </x:c>
      <x:c r="E12" s="4" t="inlineStr">
        <x:is>
          <x:t xml:space="preserve">Outliers</x:t>
        </x:is>
      </x:c>
      <x:c r="F12" s="6" t="inlineStr">
        <x:is>
          <x:t xml:space="preserve">Yes</x:t>
        </x:is>
      </x:c>
    </x:row>
    <x:row r="13">
      <x:c r="A13" s="4" t="inlineStr">
        <x:is>
          <x:t xml:space="preserve">Avg job duration (assumption)</x:t>
        </x:is>
      </x:c>
      <x:c r="B13" s="9" t="n">
        <x:v>10</x:v>
      </x:c>
      <x:c r="C13" s="9" t="n">
        <x:v>15</x:v>
      </x:c>
      <x:c r="D13" s="6" t="inlineStr">
        <x:is>
          <x:t xml:space="preserve">minutes</x:t>
        </x:is>
      </x:c>
      <x:c r="E13" s="4" t="inlineStr">
        <x:is>
          <x:t xml:space="preserve">Used to estimate concurrency</x:t>
        </x:is>
      </x:c>
      <x:c r="F13" s="6" t="inlineStr">
        <x:is>
          <x:t xml:space="preserve">Yes</x:t>
        </x:is>
      </x:c>
    </x:row>
    <x:row r="14">
      <x:c r="A14" s="4" t="inlineStr">
        <x:is>
          <x:t xml:space="preserve">Avg vCPU per concurrent job</x:t>
        </x:is>
      </x:c>
      <x:c r="B14" s="8" t="n">
        <x:v>1</x:v>
      </x:c>
      <x:c r="C14" s="8" t="n">
        <x:v>1</x:v>
      </x:c>
      <x:c r="D14" s="6" t="inlineStr">
        <x:is>
          <x:t xml:space="preserve">vCPU</x:t>
        </x:is>
      </x:c>
      <x:c r="E14" s="4" t="inlineStr">
        <x:is>
          <x:t xml:space="preserve">Slow OK → keep low</x:t>
        </x:is>
      </x:c>
      <x:c r="F14" s="6" t="inlineStr">
        <x:is>
          <x:t xml:space="preserve">Yes</x:t>
        </x:is>
      </x:c>
    </x:row>
    <x:row r="15">
      <x:c r="A15" s="4" t="inlineStr">
        <x:is>
          <x:t xml:space="preserve">Avg memory per concurrent job</x:t>
        </x:is>
      </x:c>
      <x:c r="B15" s="8" t="n">
        <x:v>3</x:v>
      </x:c>
      <x:c r="C15" s="8" t="n">
        <x:v>4</x:v>
      </x:c>
      <x:c r="D15" s="6" t="inlineStr">
        <x:is>
          <x:t xml:space="preserve">GB</x:t>
        </x:is>
      </x:c>
      <x:c r="E15" s="4" t="inlineStr">
        <x:is>
          <x:t xml:space="preserve">Tune based on actual</x:t>
        </x:is>
      </x:c>
      <x:c r="F15" s="6" t="inlineStr">
        <x:is>
          <x:t xml:space="preserve">Yes</x:t>
        </x:is>
      </x:c>
    </x:row>
    <x:row r="16">
      <x:c r="A16" s="4" t="inlineStr">
        <x:is>
          <x:t xml:space="preserve">Utilization target (cluster)</x:t>
        </x:is>
      </x:c>
      <x:c r="B16" s="7" t="n">
        <x:v>0.7</x:v>
      </x:c>
      <x:c r="C16" s="7" t="n">
        <x:v>0.7</x:v>
      </x:c>
      <x:c r="D16" s="6" t="inlineStr">
        <x:is>
          <x:t xml:space="preserve">%</x:t>
        </x:is>
      </x:c>
      <x:c r="E16" s="4" t="inlineStr">
        <x:is>
          <x:t xml:space="preserve">Headroom for spikes</x:t>
        </x:is>
      </x:c>
      <x:c r="F16" s="6" t="inlineStr">
        <x:is>
          <x:t xml:space="preserve">Yes</x:t>
        </x:is>
      </x:c>
    </x:row>
    <x:row r="17">
      <x:c r="A17" s="4" t="inlineStr">
        <x:is>
          <x:t xml:space="preserve">Active batch hours per day (Spark pool)</x:t>
        </x:is>
      </x:c>
      <x:c r="B17" s="9" t="n">
        <x:v>12</x:v>
      </x:c>
      <x:c r="C17" s="9" t="n">
        <x:v>12</x:v>
      </x:c>
      <x:c r="D17" s="6" t="inlineStr">
        <x:is>
          <x:t xml:space="preserve">hours/day</x:t>
        </x:is>
      </x:c>
      <x:c r="E17" s="4" t="inlineStr">
        <x:is>
          <x:t xml:space="preserve">Scale-to-zero outside window</x:t>
        </x:is>
      </x:c>
      <x:c r="F17" s="6" t="inlineStr">
        <x:is>
          <x:t xml:space="preserve">Yes</x:t>
        </x:is>
      </x:c>
    </x:row>
    <x:row r="18">
      <x:c r="A18" s="4" t="inlineStr">
        <x:is>
          <x:t xml:space="preserve">Days per month</x:t>
        </x:is>
      </x:c>
      <x:c r="B18" s="9" t="n">
        <x:v>30</x:v>
      </x:c>
      <x:c r="C18" s="9" t="n">
        <x:v>30</x:v>
      </x:c>
      <x:c r="D18" s="6" t="inlineStr">
        <x:is>
          <x:t xml:space="preserve">days</x:t>
        </x:is>
      </x:c>
      <x:c r="E18" s="4" t="inlineStr">
        <x:is>
          <x:t xml:space="preserve"/>
        </x:is>
      </x:c>
      <x:c r="F18" s="6" t="inlineStr">
        <x:is>
          <x:t xml:space="preserve">Yes</x:t>
        </x:is>
      </x:c>
    </x:row>
    <x:row r="19"/>
    <x:row r="20"/>
    <x:row r="21">
      <x:c r="A21" s="2" t="inlineStr">
        <x:is>
          <x:t xml:space="preserve">Pricing &amp; sizing assumptions (editable)</x:t>
        </x:is>
      </x:c>
    </x:row>
    <x:row r="22">
      <x:c r="A22" s="3" t="inlineStr">
        <x:is>
          <x:t xml:space="preserve">Metric</x:t>
        </x:is>
      </x:c>
      <x:c r="B22" s="3" t="inlineStr">
        <x:is>
          <x:t xml:space="preserve">Min</x:t>
        </x:is>
      </x:c>
      <x:c r="C22" s="3" t="inlineStr">
        <x:is>
          <x:t xml:space="preserve">Max</x:t>
        </x:is>
      </x:c>
      <x:c r="D22" s="3" t="inlineStr">
        <x:is>
          <x:t xml:space="preserve">Unit</x:t>
        </x:is>
      </x:c>
      <x:c r="E22" s="3" t="inlineStr">
        <x:is>
          <x:t xml:space="preserve">Notes</x:t>
        </x:is>
      </x:c>
      <x:c r="F22" s="3" t="inlineStr">
        <x:is>
          <x:t xml:space="preserve">Editable?</x:t>
        </x:is>
      </x:c>
    </x:row>
    <x:row r="23">
      <x:c r="A23" s="4" t="inlineStr">
        <x:is>
          <x:t xml:space="preserve">EKS control plane hourly</x:t>
        </x:is>
      </x:c>
      <x:c r="B23" s="10" t="n">
        <x:v>0.1</x:v>
      </x:c>
      <x:c r="C23" s="10" t="n">
        <x:v>0.1</x:v>
      </x:c>
      <x:c r="D23" s="6" t="inlineStr">
        <x:is>
          <x:t xml:space="preserve">$/hour</x:t>
        </x:is>
      </x:c>
      <x:c r="E23" s="4" t="inlineStr">
        <x:is>
          <x:t xml:space="preserve">AWS EKS fee</x:t>
        </x:is>
      </x:c>
      <x:c r="F23" s="6" t="inlineStr">
        <x:is>
          <x:t xml:space="preserve">Yes</x:t>
        </x:is>
      </x:c>
    </x:row>
    <x:row r="24">
      <x:c r="A24" s="4" t="inlineStr">
        <x:is>
          <x:t xml:space="preserve">Base node type hourly (t3.large)</x:t>
        </x:is>
      </x:c>
      <x:c r="B24" s="10" t="n">
        <x:v>0.0832</x:v>
      </x:c>
      <x:c r="C24" s="10" t="n">
        <x:v>0.0832</x:v>
      </x:c>
      <x:c r="D24" s="6" t="inlineStr">
        <x:is>
          <x:t xml:space="preserve">$/hour</x:t>
        </x:is>
      </x:c>
      <x:c r="E24" s="4" t="inlineStr">
        <x:is>
          <x:t xml:space="preserve">Always-on base</x:t>
        </x:is>
      </x:c>
      <x:c r="F24" s="6" t="inlineStr">
        <x:is>
          <x:t xml:space="preserve">Yes</x:t>
        </x:is>
      </x:c>
    </x:row>
    <x:row r="25">
      <x:c r="A25" s="4" t="inlineStr">
        <x:is>
          <x:t xml:space="preserve">Base nodes (24x7)</x:t>
        </x:is>
      </x:c>
      <x:c r="B25" s="9" t="n">
        <x:v>2</x:v>
      </x:c>
      <x:c r="C25" s="9" t="n">
        <x:v>2</x:v>
      </x:c>
      <x:c r="D25" s="6" t="inlineStr">
        <x:is>
          <x:t xml:space="preserve">nodes</x:t>
        </x:is>
      </x:c>
      <x:c r="E25" s="4" t="inlineStr">
        <x:is>
          <x:t xml:space="preserve">Airflow + system</x:t>
        </x:is>
      </x:c>
      <x:c r="F25" s="6" t="inlineStr">
        <x:is>
          <x:t xml:space="preserve">Yes</x:t>
        </x:is>
      </x:c>
    </x:row>
    <x:row r="26">
      <x:c r="A26" s="4" t="inlineStr">
        <x:is>
          <x:t xml:space="preserve">Spark node type hourly (m6i.xlarge)</x:t>
        </x:is>
      </x:c>
      <x:c r="B26" s="10" t="n">
        <x:v>0.192</x:v>
      </x:c>
      <x:c r="C26" s="10" t="n">
        <x:v>0.192</x:v>
      </x:c>
      <x:c r="D26" s="6" t="inlineStr">
        <x:is>
          <x:t xml:space="preserve">$/hour</x:t>
        </x:is>
      </x:c>
      <x:c r="E26" s="4" t="inlineStr">
        <x:is>
          <x:t xml:space="preserve">Executors pool</x:t>
        </x:is>
      </x:c>
      <x:c r="F26" s="6" t="inlineStr">
        <x:is>
          <x:t xml:space="preserve">Yes</x:t>
        </x:is>
      </x:c>
    </x:row>
    <x:row r="27">
      <x:c r="A27" s="4" t="inlineStr">
        <x:is>
          <x:t xml:space="preserve">Spark avg nodes (during batch)</x:t>
        </x:is>
      </x:c>
      <x:c r="B27" s="9" t="n">
        <x:v>15</x:v>
      </x:c>
      <x:c r="C27" s="9" t="n">
        <x:v>15</x:v>
      </x:c>
      <x:c r="D27" s="6" t="inlineStr">
        <x:is>
          <x:t xml:space="preserve">nodes</x:t>
        </x:is>
      </x:c>
      <x:c r="E27" s="4" t="inlineStr">
        <x:is>
          <x:t xml:space="preserve">Target EKS $1300–$1400</x:t>
        </x:is>
      </x:c>
      <x:c r="F27" s="6" t="inlineStr">
        <x:is>
          <x:t xml:space="preserve">Yes</x:t>
        </x:is>
      </x:c>
    </x:row>
    <x:row r="28">
      <x:c r="A28" s="4" t="inlineStr">
        <x:is>
          <x:t xml:space="preserve">Root EBS per node</x:t>
        </x:is>
      </x:c>
      <x:c r="B28" s="9" t="n">
        <x:v>30</x:v>
      </x:c>
      <x:c r="C28" s="9" t="n">
        <x:v>30</x:v>
      </x:c>
      <x:c r="D28" s="6" t="inlineStr">
        <x:is>
          <x:t xml:space="preserve">GB</x:t>
        </x:is>
      </x:c>
      <x:c r="E28" s="4" t="inlineStr">
        <x:is>
          <x:t xml:space="preserve">gp3 root volume</x:t>
        </x:is>
      </x:c>
      <x:c r="F28" s="6" t="inlineStr">
        <x:is>
          <x:t xml:space="preserve">Yes</x:t>
        </x:is>
      </x:c>
    </x:row>
    <x:row r="29">
      <x:c r="A29" s="4" t="inlineStr">
        <x:is>
          <x:t xml:space="preserve">gp3 price per GB-month</x:t>
        </x:is>
      </x:c>
      <x:c r="B29" s="10" t="n">
        <x:v>0.08</x:v>
      </x:c>
      <x:c r="C29" s="10" t="n">
        <x:v>0.08</x:v>
      </x:c>
      <x:c r="D29" s="6" t="inlineStr">
        <x:is>
          <x:t xml:space="preserve">$/GB-month</x:t>
        </x:is>
      </x:c>
      <x:c r="E29" s="4" t="inlineStr">
        <x:is>
          <x:t xml:space="preserve">Approx; update if needed</x:t>
        </x:is>
      </x:c>
      <x:c r="F29" s="6" t="inlineStr">
        <x:is>
          <x:t xml:space="preserve">Yes</x:t>
        </x:is>
      </x:c>
    </x:row>
    <x:row r="30">
      <x:c r="A30" s="4" t="inlineStr">
        <x:is>
          <x:t xml:space="preserve">Other EKS fixed infra</x:t>
        </x:is>
      </x:c>
      <x:c r="B30" s="10" t="n">
        <x:v>120</x:v>
      </x:c>
      <x:c r="C30" s="10" t="n">
        <x:v>120</x:v>
      </x:c>
      <x:c r="D30" s="6" t="inlineStr">
        <x:is>
          <x:t xml:space="preserve">$/month</x:t>
        </x:is>
      </x:c>
      <x:c r="E30" s="4" t="inlineStr">
        <x:is>
          <x:t xml:space="preserve">LB/NAT/Logs/Endpoints</x:t>
        </x:is>
      </x:c>
      <x:c r="F30" s="6" t="inlineStr">
        <x:is>
          <x:t xml:space="preserve">Yes</x:t>
        </x:is>
      </x:c>
    </x:row>
    <x:row r="31">
      <x:c r="A31" s="4" t="inlineStr">
        <x:is>
          <x:t xml:space="preserve">Airflow (self-managed) target</x:t>
        </x:is>
      </x:c>
      <x:c r="B31" s="10" t="n">
        <x:v>550</x:v>
      </x:c>
      <x:c r="C31" s="10" t="n">
        <x:v>550</x:v>
      </x:c>
      <x:c r="D31" s="6" t="inlineStr">
        <x:is>
          <x:t xml:space="preserve">$/month</x:t>
        </x:is>
      </x:c>
      <x:c r="E31" s="4" t="inlineStr">
        <x:is>
          <x:t xml:space="preserve">Goal $500–$600</x:t>
        </x:is>
      </x:c>
      <x:c r="F31" s="6" t="inlineStr">
        <x:is>
          <x:t xml:space="preserve">Yes</x:t>
        </x:is>
      </x:c>
    </x:row>
    <x:row r="32">
      <x:c r="A32" s="4" t="inlineStr">
        <x:is>
          <x:t xml:space="preserve">MWAA target</x:t>
        </x:is>
      </x:c>
      <x:c r="B32" s="10" t="n">
        <x:v>900</x:v>
      </x:c>
      <x:c r="C32" s="10" t="n">
        <x:v>900</x:v>
      </x:c>
      <x:c r="D32" s="6" t="inlineStr">
        <x:is>
          <x:t xml:space="preserve">$/month</x:t>
        </x:is>
      </x:c>
      <x:c r="E32" s="4" t="inlineStr">
        <x:is>
          <x:t xml:space="preserve">Goal</x:t>
        </x:is>
      </x:c>
      <x:c r="F32" s="6" t="inlineStr">
        <x:is>
          <x:t xml:space="preserve">Yes</x:t>
        </x:is>
      </x:c>
    </x:row>
  </x:sheetData>
  <x:mergeCells>
    <x:mergeCell ref="A3:F3"/>
    <x:mergeCell ref="A21:F21"/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customWidth="1"/>
    <x:col min="2" max="2" width="14" customWidth="1"/>
    <x:col min="3" max="3" width="14" customWidth="1"/>
    <x:col min="4" max="4" width="10" customWidth="1"/>
    <x:col min="5" max="5" width="34" customWidth="1"/>
  </x:cols>
  <x:sheetData>
    <x:row r="1" ht="28" customHeight="1">
      <x:c r="A1" s="1" t="inlineStr">
        <x:is>
          <x:t xml:space="preserve">Workload Calculations (derived from Inputs)</x:t>
        </x:is>
      </x:c>
    </x:row>
    <x:row r="2"/>
    <x:row r="3">
      <x:c r="A3" s="2" t="inlineStr">
        <x:is>
          <x:t xml:space="preserve">Derived metrics (Min vs Max scenarios)</x:t>
        </x:is>
      </x:c>
    </x:row>
    <x:row r="4" ht="20" customHeight="1">
      <x:c r="A4" s="3" t="inlineStr">
        <x:is>
          <x:t xml:space="preserve">Metric</x:t>
        </x:is>
      </x:c>
      <x:c r="B4" s="3" t="inlineStr">
        <x:is>
          <x:t xml:space="preserve">Min</x:t>
        </x:is>
      </x:c>
      <x:c r="C4" s="3" t="inlineStr">
        <x:is>
          <x:t xml:space="preserve">Max</x:t>
        </x:is>
      </x:c>
      <x:c r="D4" s="3" t="inlineStr">
        <x:is>
          <x:t xml:space="preserve">Unit</x:t>
        </x:is>
      </x:c>
      <x:c r="E4" s="3" t="inlineStr">
        <x:is>
          <x:t xml:space="preserve">Formula/Notes</x:t>
        </x:is>
      </x:c>
      <x:c r="F4" s="3" t="inlineStr">
        <x:is>
          <x:t xml:space="preserve"/>
        </x:is>
      </x:c>
      <x:c r="G4" s="3" t="inlineStr">
        <x:is>
          <x:t xml:space="preserve"/>
        </x:is>
      </x:c>
      <x:c r="H4" s="3" t="inlineStr">
        <x:is>
          <x:t xml:space="preserve"/>
        </x:is>
      </x:c>
    </x:row>
    <x:row r="5">
      <x:c r="A5" s="4" t="inlineStr">
        <x:is>
          <x:t xml:space="preserve">Average data per job (GB)</x:t>
        </x:is>
      </x:c>
      <x:c r="B5" s="11">
        <x:f>(input!B8*input!B9)+(input!B10*input!B11)</x:f>
        <x:v>0.7600000000000001</x:v>
      </x:c>
      <x:c r="C5" s="11">
        <x:f>(input!B8*input!B9)+(input!B10*input!B11)</x:f>
        <x:v>0.7600000000000001</x:v>
      </x:c>
      <x:c r="D5" s="6" t="inlineStr">
        <x:is>
          <x:t xml:space="preserve">GB/job</x:t>
        </x:is>
      </x:c>
      <x:c r="E5" s="4" t="inlineStr">
        <x:is>
          <x:t xml:space="preserve">80/20 weighted</x:t>
        </x:is>
      </x:c>
    </x:row>
    <x:row r="6">
      <x:c r="A6" s="4" t="inlineStr">
        <x:is>
          <x:t xml:space="preserve">Data processed per hour</x:t>
        </x:is>
      </x:c>
      <x:c r="B6" s="12">
        <x:f>input!B7*B5</x:f>
        <x:v>91.20000000000002</x:v>
      </x:c>
      <x:c r="C6" s="12">
        <x:f>input!C7*C5</x:f>
        <x:v>114.00000000000001</x:v>
      </x:c>
      <x:c r="D6" s="6" t="inlineStr">
        <x:is>
          <x:t xml:space="preserve">GB/hour</x:t>
        </x:is>
      </x:c>
      <x:c r="E6" s="4" t="inlineStr">
        <x:is>
          <x:t xml:space="preserve">jobs/hour × avg GB/job</x:t>
        </x:is>
      </x:c>
    </x:row>
    <x:row r="7">
      <x:c r="A7" s="4" t="inlineStr">
        <x:is>
          <x:t xml:space="preserve">Concurrency estimate</x:t>
        </x:is>
      </x:c>
      <x:c r="B7" s="13">
        <x:f>input!B7*(input!B13/60)</x:f>
        <x:v>20</x:v>
      </x:c>
      <x:c r="C7" s="13">
        <x:f>input!C7*(input!B13/60)</x:f>
        <x:v>25</x:v>
      </x:c>
      <x:c r="D7" s="6" t="inlineStr">
        <x:is>
          <x:t xml:space="preserve">jobs</x:t>
        </x:is>
      </x:c>
      <x:c r="E7" s="4" t="inlineStr">
        <x:is>
          <x:t xml:space="preserve">jobs/hour × avg_duration_hr</x:t>
        </x:is>
      </x:c>
    </x:row>
    <x:row r="8">
      <x:c r="A8" s="4" t="inlineStr">
        <x:is>
          <x:t xml:space="preserve">Required vCPU (w/ headroom)</x:t>
        </x:is>
      </x:c>
      <x:c r="B8" s="13">
        <x:f>(B7*input!B14)/input!B16</x:f>
        <x:v>28.571428571428573</x:v>
      </x:c>
      <x:c r="C8" s="13">
        <x:f>(C7*input!B14)/input!B16</x:f>
        <x:v>35.714285714285715</x:v>
      </x:c>
      <x:c r="D8" s="6" t="inlineStr">
        <x:is>
          <x:t xml:space="preserve">vCPU</x:t>
        </x:is>
      </x:c>
      <x:c r="E8" s="4" t="inlineStr">
        <x:is>
          <x:t xml:space="preserve">concurrency × vCPU/job ÷ utilization</x:t>
        </x:is>
      </x:c>
    </x:row>
    <x:row r="9">
      <x:c r="A9" s="4" t="inlineStr">
        <x:is>
          <x:t xml:space="preserve">Required memory (w/ headroom)</x:t>
        </x:is>
      </x:c>
      <x:c r="B9" s="13">
        <x:f>(B7*input!B15)/input!B16</x:f>
        <x:v>85.71428571428572</x:v>
      </x:c>
      <x:c r="C9" s="13">
        <x:f>(C7*input!B15)/input!B16</x:f>
        <x:v>107.14285714285715</x:v>
      </x:c>
      <x:c r="D9" s="6" t="inlineStr">
        <x:is>
          <x:t xml:space="preserve">GB</x:t>
        </x:is>
      </x:c>
      <x:c r="E9" s="4" t="inlineStr">
        <x:is>
          <x:t xml:space="preserve">concurrency × GB/job ÷ utilization</x:t>
        </x:is>
      </x:c>
    </x:row>
    <x:row r="10">
      <x:c r="A10" s="14" t="n"/>
      <x:c r="B10" s="15" t="n"/>
      <x:c r="C10" s="15" t="n"/>
      <x:c r="D10" s="14" t="n"/>
      <x:c r="E10" s="14" t="n"/>
    </x:row>
    <x:row r="11">
      <x:c r="A11" s="16" t="inlineStr">
        <x:is>
          <x:t xml:space="preserve">Node sizing (uses Spark node vCPU/memory from Inputs)</x:t>
        </x:is>
      </x:c>
      <x:c r="B11" s="24" t="n"/>
      <x:c r="C11" s="24" t="n"/>
      <x:c r="D11" s="24" t="n"/>
      <x:c r="E11" s="24" t="n"/>
      <x:c r="F11" s="24" t="n"/>
      <x:c r="G11" s="24" t="n"/>
      <x:c r="H11" s="25" t="n"/>
    </x:row>
    <x:row r="12">
      <x:c r="A12" s="3" t="inlineStr">
        <x:is>
          <x:t xml:space="preserve">Metric</x:t>
        </x:is>
      </x:c>
      <x:c r="B12" s="17" t="inlineStr">
        <x:is>
          <x:t xml:space="preserve">Min</x:t>
        </x:is>
      </x:c>
      <x:c r="C12" s="17" t="inlineStr">
        <x:is>
          <x:t xml:space="preserve">Max</x:t>
        </x:is>
      </x:c>
      <x:c r="D12" s="3" t="inlineStr">
        <x:is>
          <x:t xml:space="preserve">Unit</x:t>
        </x:is>
      </x:c>
      <x:c r="E12" s="3" t="inlineStr">
        <x:is>
          <x:t xml:space="preserve">Formula/Notes</x:t>
        </x:is>
      </x:c>
    </x:row>
    <x:row r="13">
      <x:c r="A13" s="4" t="inlineStr">
        <x:is>
          <x:t xml:space="preserve">Spark node vCPU</x:t>
        </x:is>
      </x:c>
      <x:c r="B13" s="18" t="n">
        <x:v>4</x:v>
      </x:c>
      <x:c r="C13" s="18" t="n">
        <x:v>4</x:v>
      </x:c>
      <x:c r="D13" s="6" t="inlineStr">
        <x:is>
          <x:t xml:space="preserve">vCPU</x:t>
        </x:is>
      </x:c>
      <x:c r="E13" s="4" t="inlineStr">
        <x:is>
          <x:t xml:space="preserve">Assumption for m6i.xlarge</x:t>
        </x:is>
      </x:c>
    </x:row>
    <x:row r="14">
      <x:c r="A14" s="4" t="inlineStr">
        <x:is>
          <x:t xml:space="preserve">Spark node memory</x:t>
        </x:is>
      </x:c>
      <x:c r="B14" s="18" t="n">
        <x:v>16</x:v>
      </x:c>
      <x:c r="C14" s="18" t="n">
        <x:v>16</x:v>
      </x:c>
      <x:c r="D14" s="6" t="inlineStr">
        <x:is>
          <x:t xml:space="preserve">GB</x:t>
        </x:is>
      </x:c>
      <x:c r="E14" s="4" t="inlineStr">
        <x:is>
          <x:t xml:space="preserve">Assumption for m6i.xlarge</x:t>
        </x:is>
      </x:c>
    </x:row>
    <x:row r="15">
      <x:c r="A15" s="4" t="inlineStr">
        <x:is>
          <x:t xml:space="preserve">Spark nodes required (vCPU-based)</x:t>
        </x:is>
      </x:c>
      <x:c r="B15" s="19">
        <x:f>CEILING(B8/B13,1)</x:f>
        <x:v>8</x:v>
      </x:c>
      <x:c r="C15" s="19">
        <x:f>CEILING(C8/C13,1)</x:f>
        <x:v>9</x:v>
      </x:c>
      <x:c r="D15" s="6" t="inlineStr">
        <x:is>
          <x:t xml:space="preserve">nodes</x:t>
        </x:is>
      </x:c>
      <x:c r="E15" s="4" t="inlineStr">
        <x:is>
          <x:t xml:space="preserve">required_vCPU / node_vCPU</x:t>
        </x:is>
      </x:c>
    </x:row>
    <x:row r="16">
      <x:c r="A16" s="4" t="inlineStr">
        <x:is>
          <x:t xml:space="preserve">Spark nodes required (memory-based)</x:t>
        </x:is>
      </x:c>
      <x:c r="B16" s="19">
        <x:f>CEILING(B9/B14,1)</x:f>
        <x:v>6</x:v>
      </x:c>
      <x:c r="C16" s="19">
        <x:f>CEILING(C9/C14,1)</x:f>
        <x:v>7</x:v>
      </x:c>
      <x:c r="D16" s="6" t="inlineStr">
        <x:is>
          <x:t xml:space="preserve">nodes</x:t>
        </x:is>
      </x:c>
      <x:c r="E16" s="4" t="inlineStr">
        <x:is>
          <x:t xml:space="preserve">required_mem / node_mem</x:t>
        </x:is>
      </x:c>
    </x:row>
    <x:row r="17">
      <x:c r="A17" s="4" t="inlineStr">
        <x:is>
          <x:t xml:space="preserve">Final nodes required (max)</x:t>
        </x:is>
      </x:c>
      <x:c r="B17" s="19">
        <x:f>MAX(B15,B16)</x:f>
        <x:v>8</x:v>
      </x:c>
      <x:c r="C17" s="19">
        <x:f>MAX(C15,C16)</x:f>
        <x:v>9</x:v>
      </x:c>
      <x:c r="D17" s="6" t="inlineStr">
        <x:is>
          <x:t xml:space="preserve">nodes</x:t>
        </x:is>
      </x:c>
      <x:c r="E17" s="4" t="inlineStr">
        <x:is>
          <x:t xml:space="preserve">Max of vCPU &amp; memory sizing</x:t>
        </x:is>
      </x:c>
    </x:row>
  </x:sheetData>
  <x:mergeCells>
    <x:mergeCell ref="A3:H3"/>
    <x:mergeCell ref="A11:H11"/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customWidth="1"/>
    <x:col min="2" max="2" width="18" customWidth="1"/>
    <x:col min="3" max="3" width="12" customWidth="1"/>
    <x:col min="4" max="4" width="44" customWidth="1"/>
  </x:cols>
  <x:sheetData>
    <x:row r="1" ht="28" customHeight="1">
      <x:c r="A1" s="1" t="inlineStr">
        <x:is>
          <x:t xml:space="preserve">EKS (Spark-on-K8s) Budget Plan — Target $1300–$1400 / month</x:t>
        </x:is>
      </x:c>
    </x:row>
    <x:row r="2"/>
    <x:row r="3">
      <x:c r="A3" s="2" t="inlineStr">
        <x:is>
          <x:t xml:space="preserve">Cost model (uses Inputs + Workload_Calcs). Assumes Spark node pool scales to zero outside batch window.</x:t>
        </x:is>
      </x:c>
    </x:row>
    <x:row r="4" ht="20" customHeight="1">
      <x:c r="A4" s="3" t="inlineStr">
        <x:is>
          <x:t xml:space="preserve">Item</x:t>
        </x:is>
      </x:c>
      <x:c r="B4" s="3" t="inlineStr">
        <x:is>
          <x:t xml:space="preserve">Monthly Cost ($)</x:t>
        </x:is>
      </x:c>
      <x:c r="C4" s="3" t="inlineStr">
        <x:is>
          <x:t xml:space="preserve">Unit</x:t>
        </x:is>
      </x:c>
      <x:c r="D4" s="3" t="inlineStr">
        <x:is>
          <x:t xml:space="preserve">Formula/Notes</x:t>
        </x:is>
      </x:c>
    </x:row>
    <x:row r="5">
      <x:c r="A5" s="4" t="inlineStr">
        <x:is>
          <x:t xml:space="preserve">Base node compute (24x7)</x:t>
        </x:is>
      </x:c>
      <x:c r="B5" s="20">
        <x:f>input!B25*input!B24*730</x:f>
        <x:v>121.472</x:v>
      </x:c>
      <x:c r="C5" s="6" t="inlineStr">
        <x:is>
          <x:t xml:space="preserve">$/month</x:t>
        </x:is>
      </x:c>
      <x:c r="D5" s="4" t="inlineStr">
        <x:is>
          <x:t xml:space="preserve">Base pool (Airflow + system)</x:t>
        </x:is>
      </x:c>
    </x:row>
    <x:row r="6">
      <x:c r="A6" s="4" t="inlineStr">
        <x:is>
          <x:t xml:space="preserve">Spark pool compute (batch window)</x:t>
        </x:is>
      </x:c>
      <x:c r="B6" s="20">
        <x:f>input!B27*input!B26*input!B17*input!B18</x:f>
        <x:v>1036.8000000000002</x:v>
      </x:c>
      <x:c r="C6" s="6" t="inlineStr">
        <x:is>
          <x:t xml:space="preserve">$/month</x:t>
        </x:is>
      </x:c>
      <x:c r="D6" s="4" t="inlineStr">
        <x:is>
          <x:t xml:space="preserve">Avg nodes × $/hr × active_hours/day × days</x:t>
        </x:is>
      </x:c>
    </x:row>
    <x:row r="7">
      <x:c r="A7" s="4" t="inlineStr">
        <x:is>
          <x:t xml:space="preserve">EKS control plane</x:t>
        </x:is>
      </x:c>
      <x:c r="B7" s="20">
        <x:f>input!B23*730</x:f>
        <x:v>73</x:v>
      </x:c>
      <x:c r="C7" s="6" t="inlineStr">
        <x:is>
          <x:t xml:space="preserve">$/month</x:t>
        </x:is>
      </x:c>
      <x:c r="D7" s="4" t="inlineStr">
        <x:is>
          <x:t xml:space="preserve">EKS fee</x:t>
        </x:is>
      </x:c>
    </x:row>
    <x:row r="8">
      <x:c r="A8" s="4" t="inlineStr">
        <x:is>
          <x:t xml:space="preserve">Root EBS (pro-rated)</x:t>
        </x:is>
      </x:c>
      <x:c r="B8" s="20">
        <x:f>((input!B25*input!B28) + (input!B27*input!B28*(input!B17*input!B18/730)))*input!B29</x:f>
        <x:v>22.553424657534244</x:v>
      </x:c>
      <x:c r="C8" s="6" t="inlineStr">
        <x:is>
          <x:t xml:space="preserve">$/month</x:t>
        </x:is>
      </x:c>
      <x:c r="D8" s="4" t="inlineStr">
        <x:is>
          <x:t xml:space="preserve">Provisioned GB-month (base + pro-rated spark)</x:t>
        </x:is>
      </x:c>
    </x:row>
    <x:row r="9">
      <x:c r="A9" s="4" t="inlineStr">
        <x:is>
          <x:t xml:space="preserve">Other EKS fixed infra</x:t>
        </x:is>
      </x:c>
      <x:c r="B9" s="20">
        <x:f>input!B30</x:f>
        <x:v>120</x:v>
      </x:c>
      <x:c r="C9" s="6" t="inlineStr">
        <x:is>
          <x:t xml:space="preserve">$/month</x:t>
        </x:is>
      </x:c>
      <x:c r="D9" s="4" t="inlineStr">
        <x:is>
          <x:t xml:space="preserve">LB / NAT / VPC endpoints / logs</x:t>
        </x:is>
      </x:c>
    </x:row>
    <x:row r="10"/>
    <x:row r="11">
      <x:c r="A11" s="21" t="inlineStr">
        <x:is>
          <x:t xml:space="preserve">Total EKS monthly cost</x:t>
        </x:is>
      </x:c>
      <x:c r="B11" s="22">
        <x:f>SUM(B5:B9)</x:f>
        <x:v>1373.8254246575343</x:v>
      </x:c>
      <x:c r="C11" s="21" t="inlineStr">
        <x:is>
          <x:t xml:space="preserve">$ / month</x:t>
        </x:is>
      </x:c>
      <x:c r="D11" s="14" t="inlineStr">
        <x:is>
          <x:t xml:space="preserve">Should land in $1300–$1400 with current inputs</x:t>
        </x:is>
      </x:c>
    </x:row>
  </x:sheetData>
  <x:mergeCells>
    <x:mergeCell ref="A3:H3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customWidth="1"/>
    <x:col min="2" max="2" width="12" customWidth="1"/>
    <x:col min="3" max="3" width="12" customWidth="1"/>
    <x:col min="4" max="4" width="16" customWidth="1"/>
    <x:col min="5" max="5" width="44" customWidth="1"/>
  </x:cols>
  <x:sheetData>
    <x:row r="1" ht="28" customHeight="1">
      <x:c r="A1" s="1" t="inlineStr">
        <x:is>
          <x:t xml:space="preserve">Airflow (Self-Managed) Budget — Target $500–$600 / month</x:t>
        </x:is>
      </x:c>
    </x:row>
    <x:row r="2"/>
    <x:row r="3">
      <x:c r="A3" s="2" t="inlineStr">
        <x:is>
          <x:t xml:space="preserve">Assumes Airflow runs on EKS base pool + additional small compute + RDS/EFS/ALB.</x:t>
        </x:is>
      </x:c>
    </x:row>
    <x:row r="4">
      <x:c r="A4" s="3" t="inlineStr">
        <x:is>
          <x:t xml:space="preserve">Item</x:t>
        </x:is>
      </x:c>
      <x:c r="B4" s="3" t="inlineStr">
        <x:is>
          <x:t xml:space="preserve">Qty/Rate</x:t>
        </x:is>
      </x:c>
      <x:c r="C4" s="3" t="inlineStr">
        <x:is>
          <x:t xml:space="preserve">Unit</x:t>
        </x:is>
      </x:c>
      <x:c r="D4" s="3" t="inlineStr">
        <x:is>
          <x:t xml:space="preserve">Monthly Cost ($)</x:t>
        </x:is>
      </x:c>
      <x:c r="E4" s="3" t="inlineStr">
        <x:is>
          <x:t xml:space="preserve">Notes</x:t>
        </x:is>
      </x:c>
    </x:row>
    <x:row r="5">
      <x:c r="A5" s="4" t="inlineStr">
        <x:is>
          <x:t xml:space="preserve">Airflow compute nodes (t3.large)</x:t>
        </x:is>
      </x:c>
      <x:c r="B5" s="23" t="n">
        <x:v>4</x:v>
      </x:c>
      <x:c r="C5" s="6" t="inlineStr">
        <x:is>
          <x:t xml:space="preserve">nodes</x:t>
        </x:is>
      </x:c>
      <x:c r="D5" s="20">
        <x:f>B5*0.0832*730</x:f>
        <x:v>242.944</x:v>
      </x:c>
      <x:c r="E5" s="4" t="inlineStr">
        <x:is>
          <x:t xml:space="preserve">Webserver + Scheduler + Workers (basic)</x:t>
        </x:is>
      </x:c>
    </x:row>
    <x:row r="6">
      <x:c r="A6" s="4" t="inlineStr">
        <x:is>
          <x:t xml:space="preserve">RDS instance hourly</x:t>
        </x:is>
      </x:c>
      <x:c r="B6" s="23" t="n">
        <x:v>0.154</x:v>
      </x:c>
      <x:c r="C6" s="6" t="inlineStr">
        <x:is>
          <x:t xml:space="preserve">$/hour</x:t>
        </x:is>
      </x:c>
      <x:c r="D6" s="20">
        <x:f>B6*730</x:f>
        <x:v>112.42</x:v>
      </x:c>
      <x:c r="E6" s="4" t="inlineStr">
        <x:is>
          <x:t xml:space="preserve">Metadata DB (example rate)</x:t>
        </x:is>
      </x:c>
    </x:row>
    <x:row r="7">
      <x:c r="A7" s="4" t="inlineStr">
        <x:is>
          <x:t xml:space="preserve">EFS storage + requests</x:t>
        </x:is>
      </x:c>
      <x:c r="B7" s="23" t="n">
        <x:v>80</x:v>
      </x:c>
      <x:c r="C7" s="6" t="inlineStr">
        <x:is>
          <x:t xml:space="preserve">$/month</x:t>
        </x:is>
      </x:c>
      <x:c r="D7" s="20">
        <x:f>B7</x:f>
        <x:v>80</x:v>
      </x:c>
      <x:c r="E7" s="4" t="inlineStr">
        <x:is>
          <x:t xml:space="preserve">DAGs / logs / plugins (if used)</x:t>
        </x:is>
      </x:c>
    </x:row>
    <x:row r="8">
      <x:c r="A8" s="4" t="inlineStr">
        <x:is>
          <x:t xml:space="preserve">ALB / NLB</x:t>
        </x:is>
      </x:c>
      <x:c r="B8" s="23" t="n">
        <x:v>25</x:v>
      </x:c>
      <x:c r="C8" s="6" t="inlineStr">
        <x:is>
          <x:t xml:space="preserve">$/month</x:t>
        </x:is>
      </x:c>
      <x:c r="D8" s="20">
        <x:f>B8</x:f>
        <x:v>25</x:v>
      </x:c>
      <x:c r="E8" s="4" t="inlineStr">
        <x:is>
          <x:t xml:space="preserve">Ingress</x:t>
        </x:is>
      </x:c>
    </x:row>
    <x:row r="9">
      <x:c r="A9" s="4" t="inlineStr">
        <x:is>
          <x:t xml:space="preserve">CloudWatch logs</x:t>
        </x:is>
      </x:c>
      <x:c r="B9" s="23" t="n">
        <x:v>40</x:v>
      </x:c>
      <x:c r="C9" s="6" t="inlineStr">
        <x:is>
          <x:t xml:space="preserve">$/month</x:t>
        </x:is>
      </x:c>
      <x:c r="D9" s="20">
        <x:f>B9</x:f>
        <x:v>40</x:v>
      </x:c>
      <x:c r="E9" s="4" t="inlineStr">
        <x:is>
          <x:t xml:space="preserve">Retention &amp; ingestion</x:t>
        </x:is>
      </x:c>
    </x:row>
    <x:row r="10">
      <x:c r="A10" s="4" t="inlineStr">
        <x:is>
          <x:t xml:space="preserve">NAT/Endpoints share</x:t>
        </x:is>
      </x:c>
      <x:c r="B10" s="23" t="n">
        <x:v>40</x:v>
      </x:c>
      <x:c r="C10" s="6" t="inlineStr">
        <x:is>
          <x:t xml:space="preserve">$/month</x:t>
        </x:is>
      </x:c>
      <x:c r="D10" s="20">
        <x:f>B10</x:f>
        <x:v>40</x:v>
      </x:c>
      <x:c r="E10" s="4" t="inlineStr">
        <x:is>
          <x:t xml:space="preserve">Networking share</x:t>
        </x:is>
      </x:c>
    </x:row>
    <x:row r="11">
      <x:c r="A11" s="4" t="inlineStr">
        <x:is>
          <x:t xml:space="preserve">Other</x:t>
        </x:is>
      </x:c>
      <x:c r="B11" s="23" t="n">
        <x:v>20</x:v>
      </x:c>
      <x:c r="C11" s="6" t="inlineStr">
        <x:is>
          <x:t xml:space="preserve">$/month</x:t>
        </x:is>
      </x:c>
      <x:c r="D11" s="20">
        <x:f>B11</x:f>
        <x:v>20</x:v>
      </x:c>
      <x:c r="E11" s="4" t="inlineStr">
        <x:is>
          <x:t xml:space="preserve">Buffer</x:t>
        </x:is>
      </x:c>
    </x:row>
    <x:row r="12"/>
    <x:row r="13">
      <x:c r="A13" s="21" t="inlineStr">
        <x:is>
          <x:t xml:space="preserve">Total Airflow monthly cost</x:t>
        </x:is>
      </x:c>
      <x:c r="B13" s="14" t="n"/>
      <x:c r="C13" s="14" t="n"/>
      <x:c r="D13" s="22">
        <x:f>SUM(D5:D11)</x:f>
        <x:v>560.364</x:v>
      </x:c>
      <x:c r="E13" s="14" t="inlineStr">
        <x:is>
          <x:t xml:space="preserve">Tune to keep within $500–$600</x:t>
        </x:is>
      </x:c>
    </x:row>
  </x:sheetData>
  <x:mergeCells>
    <x:mergeCell ref="A3:H3"/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customWidth="1"/>
    <x:col min="2" max="2" width="14" customWidth="1"/>
    <x:col min="3" max="3" width="12" customWidth="1"/>
    <x:col min="4" max="4" width="16" customWidth="1"/>
    <x:col min="5" max="5" width="44" customWidth="1"/>
  </x:cols>
  <x:sheetData>
    <x:row r="1" ht="28" customHeight="1">
      <x:c r="A1" s="1" t="inlineStr">
        <x:is>
          <x:t xml:space="preserve">AWS Managed Workflows for Apache Airflow (MWAA) Budget — Target $900 / month</x:t>
        </x:is>
      </x:c>
    </x:row>
    <x:row r="2"/>
    <x:row r="3">
      <x:c r="A3" s="2" t="inlineStr">
        <x:is>
          <x:t xml:space="preserve">Simple MWAA estimate (environment hourly + add-ons). Adjust hourly rate to match chosen MWAA size.</x:t>
        </x:is>
      </x:c>
    </x:row>
    <x:row r="4">
      <x:c r="A4" s="3" t="inlineStr">
        <x:is>
          <x:t xml:space="preserve">Item</x:t>
        </x:is>
      </x:c>
      <x:c r="B4" s="3" t="inlineStr">
        <x:is>
          <x:t xml:space="preserve">Rate/Qty</x:t>
        </x:is>
      </x:c>
      <x:c r="C4" s="3" t="inlineStr">
        <x:is>
          <x:t xml:space="preserve">Unit</x:t>
        </x:is>
      </x:c>
      <x:c r="D4" s="3" t="inlineStr">
        <x:is>
          <x:t xml:space="preserve">Monthly Cost ($)</x:t>
        </x:is>
      </x:c>
      <x:c r="E4" s="3" t="inlineStr">
        <x:is>
          <x:t xml:space="preserve">Notes</x:t>
        </x:is>
      </x:c>
    </x:row>
    <x:row r="5">
      <x:c r="A5" s="4" t="inlineStr">
        <x:is>
          <x:t xml:space="preserve">MWAA environment hourly rate</x:t>
        </x:is>
      </x:c>
      <x:c r="B5" s="23" t="n">
        <x:v>0.99</x:v>
      </x:c>
      <x:c r="C5" s="6" t="inlineStr">
        <x:is>
          <x:t xml:space="preserve">$/hour</x:t>
        </x:is>
      </x:c>
      <x:c r="D5" s="20">
        <x:f>B5*730</x:f>
        <x:v>722.7</x:v>
      </x:c>
      <x:c r="E5" s="4" t="inlineStr">
        <x:is>
          <x:t xml:space="preserve">Depends on env class</x:t>
        </x:is>
      </x:c>
    </x:row>
    <x:row r="6">
      <x:c r="A6" s="4" t="inlineStr">
        <x:is>
          <x:t xml:space="preserve">Additional MWAA add-ons</x:t>
        </x:is>
      </x:c>
      <x:c r="B6" s="23" t="n">
        <x:v>177.3</x:v>
      </x:c>
      <x:c r="C6" s="6" t="inlineStr">
        <x:is>
          <x:t xml:space="preserve">$/month</x:t>
        </x:is>
      </x:c>
      <x:c r="D6" s="20">
        <x:f>B6</x:f>
        <x:v>177.3</x:v>
      </x:c>
      <x:c r="E6" s="4" t="inlineStr">
        <x:is>
          <x:t xml:space="preserve">Logs, storage, networking, etc.</x:t>
        </x:is>
      </x:c>
    </x:row>
    <x:row r="7"/>
    <x:row r="8">
      <x:c r="A8" s="21" t="inlineStr">
        <x:is>
          <x:t xml:space="preserve">Total MWAA monthly cost</x:t>
        </x:is>
      </x:c>
      <x:c r="B8" s="14" t="n"/>
      <x:c r="C8" s="14" t="n"/>
      <x:c r="D8" s="22">
        <x:f>SUM(D5:D6)</x:f>
        <x:v>900</x:v>
      </x:c>
      <x:c r="E8" s="14" t="inlineStr">
        <x:is>
          <x:t xml:space="preserve">Target ~ $900</x:t>
        </x:is>
      </x:c>
    </x:row>
  </x:sheetData>
  <x:mergeCells>
    <x:mergeCell ref="A3:H3"/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customWidth="1"/>
    <x:col min="2" max="2" width="20" customWidth="1"/>
    <x:col min="3" max="3" width="44" customWidth="1"/>
  </x:cols>
  <x:sheetData>
    <x:row r="1" ht="28" customHeight="1">
      <x:c r="A1" s="1" t="inlineStr">
        <x:is>
          <x:t xml:space="preserve">Budget Summary — us-east-1</x:t>
        </x:is>
      </x:c>
    </x:row>
    <x:row r="2"/>
    <x:row r="3">
      <x:c r="A3" s="2" t="inlineStr">
        <x:is>
          <x:t xml:space="preserve">Targets: EKS $1300–$1400 | Airflow $500–$600 | MWAA $900</x:t>
        </x:is>
      </x:c>
    </x:row>
    <x:row r="4" ht="20" customHeight="1">
      <x:c r="A4" s="3" t="inlineStr">
        <x:is>
          <x:t xml:space="preserve">Component</x:t>
        </x:is>
      </x:c>
      <x:c r="B4" s="3" t="inlineStr">
        <x:is>
          <x:t xml:space="preserve">Planned Monthly Cost ($)</x:t>
        </x:is>
      </x:c>
      <x:c r="C4" s="3" t="inlineStr">
        <x:is>
          <x:t xml:space="preserve">Target Range / Notes</x:t>
        </x:is>
      </x:c>
    </x:row>
    <x:row r="5">
      <x:c r="A5" s="4" t="inlineStr">
        <x:is>
          <x:t xml:space="preserve">EKS (Spark compute + base + infra)</x:t>
        </x:is>
      </x:c>
      <x:c r="B5" s="20">
        <x:f>='eks_compute_budget'!B11</x:f>
        <x:v>1373.8254246575343</x:v>
      </x:c>
      <x:c r="C5" s="4" t="inlineStr">
        <x:is>
          <x:t xml:space="preserve">Target $1300–$1400</x:t>
        </x:is>
      </x:c>
    </x:row>
    <x:row r="6">
      <x:c r="A6" s="4" t="inlineStr">
        <x:is>
          <x:t xml:space="preserve">Airflow (self-managed)</x:t>
        </x:is>
      </x:c>
      <x:c r="B6" s="20">
        <x:f>='airflow'!D13</x:f>
        <x:v>560.364</x:v>
      </x:c>
      <x:c r="C6" s="4" t="inlineStr">
        <x:is>
          <x:t xml:space="preserve">Target $500–$600</x:t>
        </x:is>
      </x:c>
    </x:row>
    <x:row r="7">
      <x:c r="A7" s="4" t="inlineStr">
        <x:is>
          <x:t xml:space="preserve">MWAA (managed Airflow)</x:t>
        </x:is>
      </x:c>
      <x:c r="B7" s="20">
        <x:f>='mwaa'!D8</x:f>
        <x:v>900</x:v>
      </x:c>
      <x:c r="C7" s="4" t="inlineStr">
        <x:is>
          <x:t xml:space="preserve">Target ~$900</x:t>
        </x:is>
      </x:c>
    </x:row>
    <x:row r="8"/>
    <x:row r="9">
      <x:c r="A9" s="2" t="inlineStr">
        <x:is>
          <x:t xml:space="preserve">Scenario Totals</x:t>
        </x:is>
      </x:c>
    </x:row>
    <x:row r="10">
      <x:c r="A10" s="3" t="inlineStr">
        <x:is>
          <x:t xml:space="preserve">Scenario</x:t>
        </x:is>
      </x:c>
      <x:c r="B10" s="3" t="inlineStr">
        <x:is>
          <x:t xml:space="preserve">Total Monthly Cost ($)</x:t>
        </x:is>
      </x:c>
      <x:c r="C10" s="3" t="inlineStr">
        <x:is>
          <x:t xml:space="preserve">Notes</x:t>
        </x:is>
      </x:c>
    </x:row>
    <x:row r="11">
      <x:c r="A11" s="4" t="inlineStr">
        <x:is>
          <x:t xml:space="preserve">EKS + Airflow (self-managed)</x:t>
        </x:is>
      </x:c>
      <x:c r="B11" s="20">
        <x:f>B5+B6</x:f>
        <x:v>1934.1894246575343</x:v>
      </x:c>
      <x:c r="C11" s="4" t="inlineStr">
        <x:is>
          <x:t xml:space="preserve">Preferred if you want Airflow $500–$600</x:t>
        </x:is>
      </x:c>
    </x:row>
    <x:row r="12">
      <x:c r="A12" s="4" t="inlineStr">
        <x:is>
          <x:t xml:space="preserve">EKS + MWAA</x:t>
        </x:is>
      </x:c>
      <x:c r="B12" s="20">
        <x:f>B5+B7</x:f>
        <x:v>2273.8254246575343</x:v>
      </x:c>
      <x:c r="C12" s="4" t="inlineStr">
        <x:is>
          <x:t xml:space="preserve">Managed orchestration cost higher</x:t>
        </x:is>
      </x:c>
    </x:row>
  </x:sheetData>
  <x:mergeCells>
    <x:mergeCell ref="A9:C9"/>
    <x:mergeCell ref="A3:H3"/>
    <x:mergeCell ref="A1:H1"/>
  </x:mergeCells>
  <x:pageMargins left="0.7" right="0.7" top="0.75" bottom="0.75" header="0.3" footer="0.3"/>
</x:worksheet>
</file>