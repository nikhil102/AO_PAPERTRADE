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workload_calcs" sheetId="2" state="visible" r:id="rId2"/>
    <sheet xmlns:r="http://schemas.openxmlformats.org/officeDocument/2006/relationships" name="databricks_compute_budget" sheetId="3" state="visible" r:id="rId3"/>
    <sheet xmlns:r="http://schemas.openxmlformats.org/officeDocument/2006/relationships" name="mwaa" sheetId="4" state="visible" r:id="rId4"/>
    <sheet xmlns:r="http://schemas.openxmlformats.org/officeDocument/2006/relationships" name="airflow" sheetId="5" state="visible" r:id="rId5"/>
    <sheet xmlns:r="http://schemas.openxmlformats.org/officeDocument/2006/relationships" name="budget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%"/>
    <numFmt numFmtId="165" formatCode="&quot;$&quot;#,##0.00_-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4" customWidth="1" min="5" max="5"/>
    <col width="34" customWidth="1" min="6" max="6"/>
  </cols>
  <sheetData>
    <row r="1">
      <c r="A1" s="1" t="inlineStr">
        <is>
          <t>Inputs (AWS us-east-1 / N. Virginia) — Workload + Pricing knobs (low-concurrency optimized)</t>
        </is>
      </c>
    </row>
    <row r="2">
      <c r="A2" t="inlineStr">
        <is>
          <t>Section</t>
        </is>
      </c>
      <c r="B2" t="inlineStr">
        <is>
          <t>Parameter</t>
        </is>
      </c>
      <c r="C2" t="inlineStr">
        <is>
          <t>Min</t>
        </is>
      </c>
      <c r="D2" t="inlineStr">
        <is>
          <t>Max</t>
        </is>
      </c>
      <c r="E2" t="inlineStr">
        <is>
          <t>Unit</t>
        </is>
      </c>
      <c r="F2" t="inlineStr">
        <is>
          <t>Notes</t>
        </is>
      </c>
    </row>
    <row r="3">
      <c r="A3" s="2" t="n"/>
      <c r="B3" s="2" t="n"/>
      <c r="C3" s="2" t="n"/>
      <c r="D3" s="2" t="n"/>
      <c r="E3" s="2" t="n"/>
      <c r="F3" s="2" t="n"/>
    </row>
    <row r="4">
      <c r="A4" s="3" t="inlineStr">
        <is>
          <t>Workload</t>
        </is>
      </c>
      <c r="B4" s="3" t="inlineStr">
        <is>
          <t>Monthly total jobs</t>
        </is>
      </c>
      <c r="C4" s="3" t="n">
        <v>28000</v>
      </c>
      <c r="D4" s="3" t="n">
        <v>50000</v>
      </c>
      <c r="E4" s="3" t="inlineStr">
        <is>
          <t>jobs/month</t>
        </is>
      </c>
      <c r="F4" s="3" t="inlineStr"/>
    </row>
    <row r="5">
      <c r="A5" s="3" t="inlineStr">
        <is>
          <t>Workload</t>
        </is>
      </c>
      <c r="B5" s="3" t="inlineStr">
        <is>
          <t>Daily total jobs</t>
        </is>
      </c>
      <c r="C5" s="3" t="n">
        <v>1200</v>
      </c>
      <c r="D5" s="3" t="n">
        <v>1800</v>
      </c>
      <c r="E5" s="3" t="inlineStr">
        <is>
          <t>jobs/day</t>
        </is>
      </c>
      <c r="F5" s="3" t="inlineStr"/>
    </row>
    <row r="6">
      <c r="A6" s="3" t="inlineStr">
        <is>
          <t>Workload</t>
        </is>
      </c>
      <c r="B6" s="3" t="inlineStr">
        <is>
          <t>Hourly total jobs</t>
        </is>
      </c>
      <c r="C6" s="3" t="n">
        <v>120</v>
      </c>
      <c r="D6" s="3" t="n">
        <v>150</v>
      </c>
      <c r="E6" s="3" t="inlineStr">
        <is>
          <t>jobs/hour</t>
        </is>
      </c>
      <c r="F6" s="3" t="inlineStr">
        <is>
          <t>Peak hour</t>
        </is>
      </c>
    </row>
    <row r="7">
      <c r="A7" s="3" t="inlineStr">
        <is>
          <t>Data mix</t>
        </is>
      </c>
      <c r="B7" s="3" t="inlineStr">
        <is>
          <t>Small jobs share</t>
        </is>
      </c>
      <c r="C7" s="4" t="n">
        <v>0.8</v>
      </c>
      <c r="D7" s="4" t="n">
        <v>0.8</v>
      </c>
      <c r="E7" s="3" t="inlineStr">
        <is>
          <t>ratio</t>
        </is>
      </c>
      <c r="F7" s="3" t="inlineStr">
        <is>
          <t>80%</t>
        </is>
      </c>
    </row>
    <row r="8">
      <c r="A8" s="3" t="inlineStr">
        <is>
          <t>Data mix</t>
        </is>
      </c>
      <c r="B8" s="3" t="inlineStr">
        <is>
          <t>Small job size</t>
        </is>
      </c>
      <c r="C8" s="3" t="n">
        <v>200</v>
      </c>
      <c r="D8" s="3" t="n">
        <v>200</v>
      </c>
      <c r="E8" s="3" t="inlineStr">
        <is>
          <t>MB/job</t>
        </is>
      </c>
      <c r="F8" s="3" t="inlineStr"/>
    </row>
    <row r="9">
      <c r="A9" s="3" t="inlineStr">
        <is>
          <t>Data mix</t>
        </is>
      </c>
      <c r="B9" s="3" t="inlineStr">
        <is>
          <t>Large jobs share</t>
        </is>
      </c>
      <c r="C9" s="4" t="n">
        <v>0.2</v>
      </c>
      <c r="D9" s="4" t="n">
        <v>0.2</v>
      </c>
      <c r="E9" s="3" t="inlineStr">
        <is>
          <t>ratio</t>
        </is>
      </c>
      <c r="F9" s="3" t="inlineStr">
        <is>
          <t>20%</t>
        </is>
      </c>
    </row>
    <row r="10">
      <c r="A10" s="3" t="inlineStr">
        <is>
          <t>Data mix</t>
        </is>
      </c>
      <c r="B10" s="3" t="inlineStr">
        <is>
          <t>Large job size</t>
        </is>
      </c>
      <c r="C10" s="3" t="n">
        <v>3</v>
      </c>
      <c r="D10" s="3" t="n">
        <v>3</v>
      </c>
      <c r="E10" s="3" t="inlineStr">
        <is>
          <t>GB/job</t>
        </is>
      </c>
      <c r="F10" s="3" t="inlineStr"/>
    </row>
    <row r="11">
      <c r="A11" s="3" t="inlineStr">
        <is>
          <t>Data mix</t>
        </is>
      </c>
      <c r="B11" s="3" t="inlineStr">
        <is>
          <t>Max job size (some jobs)</t>
        </is>
      </c>
      <c r="C11" s="3" t="n">
        <v>6</v>
      </c>
      <c r="D11" s="3" t="n">
        <v>6</v>
      </c>
      <c r="E11" s="3" t="inlineStr">
        <is>
          <t>GB/job</t>
        </is>
      </c>
      <c r="F11" s="3" t="inlineStr"/>
    </row>
    <row r="12">
      <c r="A12" s="3" t="inlineStr">
        <is>
          <t>Runtime</t>
        </is>
      </c>
      <c r="B12" s="3" t="inlineStr">
        <is>
          <t>Small job avg runtime (assumes lightweight transforms)</t>
        </is>
      </c>
      <c r="C12" s="3" t="n">
        <v>3</v>
      </c>
      <c r="D12" s="3" t="n">
        <v>5</v>
      </c>
      <c r="E12" s="3" t="inlineStr">
        <is>
          <t>minutes/job</t>
        </is>
      </c>
      <c r="F12" s="3" t="inlineStr">
        <is>
          <t>Tune later</t>
        </is>
      </c>
    </row>
    <row r="13">
      <c r="A13" s="3" t="inlineStr">
        <is>
          <t>Runtime</t>
        </is>
      </c>
      <c r="B13" s="3" t="inlineStr">
        <is>
          <t>Large job avg runtime (assumes joins/agg; slower OK)</t>
        </is>
      </c>
      <c r="C13" s="3" t="n">
        <v>15</v>
      </c>
      <c r="D13" s="3" t="n">
        <v>25</v>
      </c>
      <c r="E13" s="3" t="inlineStr">
        <is>
          <t>minutes/job</t>
        </is>
      </c>
      <c r="F13" s="3" t="inlineStr">
        <is>
          <t>Tune later</t>
        </is>
      </c>
    </row>
    <row r="14">
      <c r="A14" s="3" t="inlineStr">
        <is>
          <t>Runtime</t>
        </is>
      </c>
      <c r="B14" s="3" t="inlineStr">
        <is>
          <t>Driver nodes per job cluster</t>
        </is>
      </c>
      <c r="C14" s="3" t="n">
        <v>1</v>
      </c>
      <c r="D14" s="3" t="n">
        <v>1</v>
      </c>
      <c r="E14" s="3" t="inlineStr">
        <is>
          <t>nodes</t>
        </is>
      </c>
      <c r="F14" s="3" t="inlineStr"/>
    </row>
    <row r="15">
      <c r="A15" s="3" t="inlineStr">
        <is>
          <t>Runtime</t>
        </is>
      </c>
      <c r="B15" s="3" t="inlineStr">
        <is>
          <t>Small job worker nodes (reduced for low concurrency)</t>
        </is>
      </c>
      <c r="C15" s="3" t="n">
        <v>1</v>
      </c>
      <c r="D15" s="3" t="n">
        <v>1</v>
      </c>
      <c r="E15" s="3" t="inlineStr">
        <is>
          <t>nodes</t>
        </is>
      </c>
      <c r="F15" s="3" t="inlineStr"/>
    </row>
    <row r="16">
      <c r="A16" s="3" t="inlineStr">
        <is>
          <t>Runtime</t>
        </is>
      </c>
      <c r="B16" s="3" t="inlineStr">
        <is>
          <t>Large job worker nodes (reduced for low concurrency)</t>
        </is>
      </c>
      <c r="C16" s="3" t="n">
        <v>2</v>
      </c>
      <c r="D16" s="3" t="n">
        <v>2</v>
      </c>
      <c r="E16" s="3" t="inlineStr">
        <is>
          <t>nodes</t>
        </is>
      </c>
      <c r="F16" s="3" t="inlineStr"/>
    </row>
    <row r="17">
      <c r="A17" s="3" t="inlineStr">
        <is>
          <t>Runtime</t>
        </is>
      </c>
      <c r="B17" s="3" t="inlineStr">
        <is>
          <t>Overhead factor (autoscale/idle)</t>
        </is>
      </c>
      <c r="C17" s="3" t="n">
        <v>1.05</v>
      </c>
      <c r="D17" s="3" t="n">
        <v>1.05</v>
      </c>
      <c r="E17" s="3" t="inlineStr">
        <is>
          <t>multiplier</t>
        </is>
      </c>
      <c r="F17" s="3" t="inlineStr">
        <is>
          <t>Buffer</t>
        </is>
      </c>
    </row>
    <row r="18">
      <c r="A18" s="3" t="inlineStr">
        <is>
          <t>Databricks</t>
        </is>
      </c>
      <c r="B18" s="3" t="inlineStr">
        <is>
          <t>EC2 $/node-hour (on-demand, us-east-1). Example: m6i.large=$0.096/hr, m6i.xlarge=$0.192/hr.</t>
        </is>
      </c>
      <c r="C18" s="5" t="n">
        <v>0.096</v>
      </c>
      <c r="D18" s="5" t="n">
        <v>0.192</v>
      </c>
      <c r="E18" s="3" t="inlineStr">
        <is>
          <t>$/node-hour</t>
        </is>
      </c>
      <c r="F18" s="3" t="inlineStr">
        <is>
          <t>Example m6i.xlarge</t>
        </is>
      </c>
    </row>
    <row r="19">
      <c r="A19" s="3" t="inlineStr">
        <is>
          <t>Databricks</t>
        </is>
      </c>
      <c r="B19" s="3" t="inlineStr">
        <is>
          <t>DBU price (Jobs Compute). Standard tier often ~$0.10/DBU; Premium/Enterprise may be higher.</t>
        </is>
      </c>
      <c r="C19" s="5" t="n">
        <v>0.1</v>
      </c>
      <c r="D19" s="5" t="n">
        <v>0.15</v>
      </c>
      <c r="E19" s="3" t="inlineStr">
        <is>
          <t>$/DBU</t>
        </is>
      </c>
      <c r="F19" s="3" t="inlineStr">
        <is>
          <t>Fill from Databricks pricing</t>
        </is>
      </c>
    </row>
    <row r="20">
      <c r="A20" s="3" t="inlineStr">
        <is>
          <t>Databricks</t>
        </is>
      </c>
      <c r="B20" s="3" t="inlineStr">
        <is>
          <t>DBU per node-hour (depends on instance + compute type). Lower if using smaller nodes / optimized config.</t>
        </is>
      </c>
      <c r="C20" s="3" t="n">
        <v>2</v>
      </c>
      <c r="D20" s="3" t="n">
        <v>3</v>
      </c>
      <c r="E20" s="3" t="inlineStr">
        <is>
          <t>DBU/node-hour</t>
        </is>
      </c>
      <c r="F20" s="3" t="inlineStr">
        <is>
          <t>Depends on compute type</t>
        </is>
      </c>
    </row>
    <row r="21">
      <c r="A21" s="3" t="inlineStr">
        <is>
          <t>Databricks license/support (fixed $/month, optional)</t>
        </is>
      </c>
      <c r="B21" s="3" t="inlineStr">
        <is>
          <t>If your Databricks contract has separate platform/support fees. Often DBU already includes this; keep 0 if none.</t>
        </is>
      </c>
      <c r="C21" s="5" t="n">
        <v>0</v>
      </c>
      <c r="D21" s="5" t="n">
        <v>0</v>
      </c>
      <c r="E21" s="3" t="inlineStr">
        <is>
          <t>$/month</t>
        </is>
      </c>
      <c r="F21" s="3" t="inlineStr">
        <is>
          <t>Unity Catalog/monitoring buffer</t>
        </is>
      </c>
    </row>
    <row r="22">
      <c r="A22" s="3" t="inlineStr">
        <is>
          <t>Airflow (self)</t>
        </is>
      </c>
      <c r="B22" s="3" t="inlineStr">
        <is>
          <t>Hours per month</t>
        </is>
      </c>
      <c r="C22" s="3" t="n">
        <v>730</v>
      </c>
      <c r="D22" s="3" t="n">
        <v>730</v>
      </c>
      <c r="E22" s="3" t="inlineStr">
        <is>
          <t>hours</t>
        </is>
      </c>
      <c r="F22" s="3" t="inlineStr"/>
    </row>
    <row r="23">
      <c r="A23" s="3" t="inlineStr">
        <is>
          <t>Airflow (self)</t>
        </is>
      </c>
      <c r="B23" s="3" t="inlineStr">
        <is>
          <t>EC2 instances</t>
        </is>
      </c>
      <c r="C23" s="3" t="n">
        <v>2</v>
      </c>
      <c r="D23" s="3" t="n">
        <v>2</v>
      </c>
      <c r="E23" s="3" t="inlineStr">
        <is>
          <t>instances</t>
        </is>
      </c>
      <c r="F23" s="3" t="inlineStr">
        <is>
          <t>Web/Scheduler + Worker</t>
        </is>
      </c>
    </row>
    <row r="24">
      <c r="A24" s="3" t="inlineStr">
        <is>
          <t>Airflow (self)</t>
        </is>
      </c>
      <c r="B24" s="3" t="inlineStr">
        <is>
          <t>EC2 $/instance-hour</t>
        </is>
      </c>
      <c r="C24" s="5" t="n">
        <v>0.0832</v>
      </c>
      <c r="D24" s="5" t="n">
        <v>0.0832</v>
      </c>
      <c r="E24" s="3" t="inlineStr">
        <is>
          <t>$/hour</t>
        </is>
      </c>
      <c r="F24" s="3" t="inlineStr">
        <is>
          <t>Example t3a.large</t>
        </is>
      </c>
    </row>
    <row r="25">
      <c r="A25" s="3" t="inlineStr">
        <is>
          <t>Airflow (self)</t>
        </is>
      </c>
      <c r="B25" s="3" t="inlineStr">
        <is>
          <t>EBS per instance</t>
        </is>
      </c>
      <c r="C25" s="3" t="n">
        <v>50</v>
      </c>
      <c r="D25" s="3" t="n">
        <v>50</v>
      </c>
      <c r="E25" s="3" t="inlineStr">
        <is>
          <t>GB</t>
        </is>
      </c>
      <c r="F25" s="3" t="inlineStr">
        <is>
          <t>gp3</t>
        </is>
      </c>
    </row>
    <row r="26">
      <c r="A26" s="3" t="inlineStr">
        <is>
          <t>Airflow (self)</t>
        </is>
      </c>
      <c r="B26" s="3" t="inlineStr">
        <is>
          <t>EBS $/GB-month</t>
        </is>
      </c>
      <c r="C26" s="5" t="n">
        <v>0.08</v>
      </c>
      <c r="D26" s="5" t="n">
        <v>0.08</v>
      </c>
      <c r="E26" s="3" t="inlineStr">
        <is>
          <t>$/GB-month</t>
        </is>
      </c>
      <c r="F26" s="3" t="inlineStr">
        <is>
          <t>gp3</t>
        </is>
      </c>
    </row>
    <row r="27">
      <c r="A27" s="3" t="inlineStr">
        <is>
          <t>Airflow (self)</t>
        </is>
      </c>
      <c r="B27" s="3" t="inlineStr">
        <is>
          <t>Misc (ALB/NAT/Logs)</t>
        </is>
      </c>
      <c r="C27" s="5" t="n">
        <v>75</v>
      </c>
      <c r="D27" s="5" t="n">
        <v>125</v>
      </c>
      <c r="E27" s="3" t="inlineStr">
        <is>
          <t>$/month</t>
        </is>
      </c>
      <c r="F27" s="3" t="inlineStr">
        <is>
          <t>Placeholder</t>
        </is>
      </c>
    </row>
    <row r="28">
      <c r="A28" s="3" t="inlineStr">
        <is>
          <t>MWAA</t>
        </is>
      </c>
      <c r="B28" s="3" t="inlineStr">
        <is>
          <t>MWAA hourly rate</t>
        </is>
      </c>
      <c r="C28" s="5" t="n">
        <v>0.49</v>
      </c>
      <c r="D28" s="5" t="n">
        <v>0.99</v>
      </c>
      <c r="E28" s="3" t="inlineStr">
        <is>
          <t>$/hour</t>
        </is>
      </c>
      <c r="F28" s="3" t="inlineStr">
        <is>
          <t>Small..Large example; replace</t>
        </is>
      </c>
    </row>
    <row r="29">
      <c r="A29" s="3" t="inlineStr">
        <is>
          <t>MWAA</t>
        </is>
      </c>
      <c r="B29" s="3" t="inlineStr">
        <is>
          <t>MWAA misc (logs/NAT/S3)</t>
        </is>
      </c>
      <c r="C29" s="5" t="n">
        <v>50</v>
      </c>
      <c r="D29" s="5" t="n">
        <v>100</v>
      </c>
      <c r="E29" s="3" t="inlineStr">
        <is>
          <t>$/month</t>
        </is>
      </c>
      <c r="F29" s="3" t="inlineStr">
        <is>
          <t>Placeholder</t>
        </is>
      </c>
    </row>
    <row r="30">
      <c r="A30" t="inlineStr">
        <is>
          <t>Databricks</t>
        </is>
      </c>
      <c r="B30" t="inlineStr">
        <is>
          <t>EC2 discount factor (Savings Plan/Spot)</t>
        </is>
      </c>
      <c r="C30" t="n">
        <v>0.6</v>
      </c>
      <c r="D30" t="n">
        <v>1</v>
      </c>
      <c r="E30" t="inlineStr">
        <is>
          <t>multiplier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4" customWidth="1" min="4" max="4"/>
    <col width="34" customWidth="1" min="5" max="5"/>
  </cols>
  <sheetData>
    <row r="1">
      <c r="A1" s="1" t="inlineStr">
        <is>
          <t>Workload calculations (derived from input)</t>
        </is>
      </c>
    </row>
    <row r="2">
      <c r="A2" t="inlineStr">
        <is>
          <t>Item</t>
        </is>
      </c>
      <c r="B2" t="inlineStr">
        <is>
          <t>Min</t>
        </is>
      </c>
      <c r="C2" t="inlineStr">
        <is>
          <t>Max</t>
        </is>
      </c>
      <c r="D2" t="inlineStr">
        <is>
          <t>Unit</t>
        </is>
      </c>
      <c r="E2" t="inlineStr">
        <is>
          <t>Formula/Notes</t>
        </is>
      </c>
    </row>
    <row r="3">
      <c r="A3" s="2" t="n"/>
      <c r="B3" s="2" t="n"/>
      <c r="C3" s="2" t="n"/>
      <c r="D3" s="2" t="n"/>
      <c r="E3" s="2" t="n"/>
    </row>
    <row r="4">
      <c r="A4" s="3" t="inlineStr">
        <is>
          <t>Small jobs / month</t>
        </is>
      </c>
      <c r="B4" s="6">
        <f>input!C4*input!C7</f>
        <v/>
      </c>
      <c r="C4" s="6">
        <f>input!D4*input!C7</f>
        <v/>
      </c>
      <c r="D4" s="3" t="inlineStr">
        <is>
          <t>jobs/month</t>
        </is>
      </c>
      <c r="E4" s="3" t="inlineStr">
        <is>
          <t>Monthly×small_share</t>
        </is>
      </c>
    </row>
    <row r="5">
      <c r="A5" s="3" t="inlineStr">
        <is>
          <t>Large jobs / month</t>
        </is>
      </c>
      <c r="B5" s="6">
        <f>input!C4*input!C9</f>
        <v/>
      </c>
      <c r="C5" s="6">
        <f>input!D4*input!C9</f>
        <v/>
      </c>
      <c r="D5" s="3" t="inlineStr">
        <is>
          <t>jobs/month</t>
        </is>
      </c>
      <c r="E5" s="3" t="inlineStr">
        <is>
          <t>Monthly×large_share</t>
        </is>
      </c>
    </row>
    <row r="6">
      <c r="A6" s="3" t="inlineStr">
        <is>
          <t>Avg data per job (GB)</t>
        </is>
      </c>
      <c r="B6" s="7">
        <f>(input!C7*(input!C8/1024))+(input!C9*input!C10)</f>
        <v/>
      </c>
      <c r="C6" s="7">
        <f>(input!C7*(input!C8/1024))+(input!C9*input!C10)</f>
        <v/>
      </c>
      <c r="D6" s="3" t="inlineStr">
        <is>
          <t>GB/job</t>
        </is>
      </c>
      <c r="E6" s="3" t="inlineStr">
        <is>
          <t>Weighted avg</t>
        </is>
      </c>
    </row>
    <row r="7">
      <c r="A7" s="3" t="inlineStr">
        <is>
          <t>Total data / month (GB)</t>
        </is>
      </c>
      <c r="B7" s="6">
        <f>B4*B6</f>
        <v/>
      </c>
      <c r="C7" s="6">
        <f>C4*C6</f>
        <v/>
      </c>
      <c r="D7" s="3" t="inlineStr">
        <is>
          <t>GB/month</t>
        </is>
      </c>
      <c r="E7" s="3" t="inlineStr">
        <is>
          <t>Jobs×avgGB</t>
        </is>
      </c>
    </row>
    <row r="8">
      <c r="A8" s="3" t="inlineStr">
        <is>
          <t>Small runtime (hours)</t>
        </is>
      </c>
      <c r="B8" s="7">
        <f>input!C12/60</f>
        <v/>
      </c>
      <c r="C8" s="7">
        <f>input!C12/60</f>
        <v/>
      </c>
      <c r="D8" s="3" t="inlineStr">
        <is>
          <t>hours/job</t>
        </is>
      </c>
      <c r="E8" s="3" t="inlineStr">
        <is>
          <t>minutes/60</t>
        </is>
      </c>
    </row>
    <row r="9">
      <c r="A9" s="3" t="inlineStr">
        <is>
          <t>Large runtime (hours)</t>
        </is>
      </c>
      <c r="B9" s="7">
        <f>input!C13/60</f>
        <v/>
      </c>
      <c r="C9" s="7">
        <f>input!C13/60</f>
        <v/>
      </c>
      <c r="D9" s="3" t="inlineStr">
        <is>
          <t>hours/job</t>
        </is>
      </c>
      <c r="E9" s="3" t="inlineStr">
        <is>
          <t>minutes/60</t>
        </is>
      </c>
    </row>
    <row r="10">
      <c r="A10" s="3" t="inlineStr">
        <is>
          <t>Small cluster nodes (driver+workers)</t>
        </is>
      </c>
      <c r="B10" s="7">
        <f>input!C14+input!C15</f>
        <v/>
      </c>
      <c r="C10" s="7">
        <f>input!C14+input!C15</f>
        <v/>
      </c>
      <c r="D10" s="3" t="inlineStr">
        <is>
          <t>nodes</t>
        </is>
      </c>
      <c r="E10" s="3" t="inlineStr"/>
    </row>
    <row r="11">
      <c r="A11" s="3" t="inlineStr">
        <is>
          <t>Large cluster nodes (driver+workers)</t>
        </is>
      </c>
      <c r="B11" s="7">
        <f>input!C14+input!C16</f>
        <v/>
      </c>
      <c r="C11" s="7">
        <f>input!C14+input!C16</f>
        <v/>
      </c>
      <c r="D11" s="3" t="inlineStr">
        <is>
          <t>nodes</t>
        </is>
      </c>
      <c r="E11" s="3" t="inlineStr"/>
    </row>
    <row r="12">
      <c r="A12" s="3" t="inlineStr">
        <is>
          <t>Small jobs node-hours/month</t>
        </is>
      </c>
      <c r="B12" s="6">
        <f>B4*B8*B10</f>
        <v/>
      </c>
      <c r="C12" s="6">
        <f>C4*B8*B10</f>
        <v/>
      </c>
      <c r="D12" s="3" t="inlineStr">
        <is>
          <t>node-hours</t>
        </is>
      </c>
      <c r="E12" s="3" t="inlineStr">
        <is>
          <t>jobs×hrs×nodes</t>
        </is>
      </c>
    </row>
    <row r="13">
      <c r="A13" s="3" t="inlineStr">
        <is>
          <t>Large jobs node-hours/month</t>
        </is>
      </c>
      <c r="B13" s="6">
        <f>B5*B9*B11</f>
        <v/>
      </c>
      <c r="C13" s="6">
        <f>C5*B9*B11</f>
        <v/>
      </c>
      <c r="D13" s="3" t="inlineStr">
        <is>
          <t>node-hours</t>
        </is>
      </c>
      <c r="E13" s="3" t="inlineStr">
        <is>
          <t>jobs×hrs×nodes</t>
        </is>
      </c>
    </row>
    <row r="14">
      <c r="A14" s="3" t="inlineStr">
        <is>
          <t>Total node-hours/month (with overhead)</t>
        </is>
      </c>
      <c r="B14" s="6">
        <f>(B12+B13)*input!C17</f>
        <v/>
      </c>
      <c r="C14" s="6">
        <f>(C12+C13)*input!C17</f>
        <v/>
      </c>
      <c r="D14" s="3" t="inlineStr">
        <is>
          <t>node-hours</t>
        </is>
      </c>
      <c r="E14" s="3" t="inlineStr">
        <is>
          <t>Sum×overhead</t>
        </is>
      </c>
    </row>
    <row r="15">
      <c r="A15" s="3" t="inlineStr">
        <is>
          <t>Avg nodes running (capacity proxy)</t>
        </is>
      </c>
      <c r="B15" s="7">
        <f>B14/input!C22</f>
        <v/>
      </c>
      <c r="C15" s="7">
        <f>C14/input!C22</f>
        <v/>
      </c>
      <c r="D15" s="3" t="inlineStr">
        <is>
          <t>nodes</t>
        </is>
      </c>
      <c r="E15" s="3" t="inlineStr">
        <is>
          <t>node-hours / hours per month</t>
        </is>
      </c>
    </row>
    <row r="16">
      <c r="A16" s="3" t="inlineStr">
        <is>
          <t>Estimated concurrency (peak hour, rough)</t>
        </is>
      </c>
      <c r="B16" s="7">
        <f>input!C6*B8</f>
        <v/>
      </c>
      <c r="C16" s="7">
        <f>input!D6*B8</f>
        <v/>
      </c>
      <c r="D16" s="3" t="inlineStr">
        <is>
          <t>jobs</t>
        </is>
      </c>
      <c r="E16" s="3" t="inlineStr">
        <is>
          <t>hourly_jobs×small_runtime_hrs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4" customWidth="1" min="4" max="4"/>
    <col width="34" customWidth="1" min="5" max="5"/>
  </cols>
  <sheetData>
    <row r="1">
      <c r="A1" s="1" t="inlineStr">
        <is>
          <t>Databricks (Jobs Compute) monthly cost — us-east-1</t>
        </is>
      </c>
    </row>
    <row r="2">
      <c r="A2" t="inlineStr">
        <is>
          <t>Item</t>
        </is>
      </c>
      <c r="B2" t="inlineStr">
        <is>
          <t>Min</t>
        </is>
      </c>
      <c r="C2" t="inlineStr">
        <is>
          <t>Max</t>
        </is>
      </c>
      <c r="D2" t="inlineStr">
        <is>
          <t>Unit</t>
        </is>
      </c>
      <c r="E2" t="inlineStr">
        <is>
          <t>Formula/Notes</t>
        </is>
      </c>
    </row>
    <row r="3">
      <c r="A3" s="2" t="n"/>
      <c r="B3" s="2" t="n"/>
      <c r="C3" s="2" t="n"/>
      <c r="D3" s="2" t="n"/>
      <c r="E3" s="2" t="n"/>
    </row>
    <row r="4">
      <c r="A4" s="3" t="inlineStr">
        <is>
          <t>Effective $/node-hour</t>
        </is>
      </c>
      <c r="B4" s="5">
        <f>(input!C18*input!C30) + (input!C20*input!C19)</f>
        <v/>
      </c>
      <c r="C4" s="5">
        <f>(input!D18*input!D30) + (input!D20*input!D19)</f>
        <v/>
      </c>
      <c r="D4" s="3" t="inlineStr">
        <is>
          <t>$/node-hour</t>
        </is>
      </c>
      <c r="E4" s="3" t="inlineStr">
        <is>
          <t>EC2 (blended) + DBU cost</t>
        </is>
      </c>
    </row>
    <row r="5">
      <c r="A5" s="3" t="inlineStr">
        <is>
          <t>Node-hours/month (from workload_calcs)</t>
        </is>
      </c>
      <c r="B5" s="6">
        <f>workload_calcs!B14</f>
        <v/>
      </c>
      <c r="C5" s="6">
        <f>workload_calcs!C14</f>
        <v/>
      </c>
      <c r="D5" s="3" t="inlineStr">
        <is>
          <t>node-hours</t>
        </is>
      </c>
      <c r="E5" s="3" t="inlineStr">
        <is>
          <t>Includes overhead</t>
        </is>
      </c>
    </row>
    <row r="6">
      <c r="A6" s="3" t="inlineStr">
        <is>
          <t>Compute cost</t>
        </is>
      </c>
      <c r="B6" s="5">
        <f>B4*B5</f>
        <v/>
      </c>
      <c r="C6" s="5">
        <f>C4*C5</f>
        <v/>
      </c>
      <c r="D6" s="3" t="inlineStr">
        <is>
          <t>$/month</t>
        </is>
      </c>
      <c r="E6" s="3" t="inlineStr">
        <is>
          <t>node-hours×$/node-hour</t>
        </is>
      </c>
    </row>
    <row r="7">
      <c r="A7" s="3" t="inlineStr">
        <is>
          <t>Databricks license/support (fixed)</t>
        </is>
      </c>
      <c r="B7" s="5">
        <f>input!C21</f>
        <v/>
      </c>
      <c r="C7" s="5">
        <f>input!D21</f>
        <v/>
      </c>
      <c r="D7" s="3" t="inlineStr">
        <is>
          <t>$/month</t>
        </is>
      </c>
      <c r="E7" s="3" t="inlineStr">
        <is>
          <t>Optional fixed fee (set 0 if none)</t>
        </is>
      </c>
    </row>
    <row r="8">
      <c r="A8" s="3" t="inlineStr">
        <is>
          <t>Total Databricks monthly</t>
        </is>
      </c>
      <c r="B8" s="5">
        <f>B6+B7</f>
        <v/>
      </c>
      <c r="C8" s="5">
        <f>C6+C7</f>
        <v/>
      </c>
      <c r="D8" s="3" t="inlineStr">
        <is>
          <t>$/month</t>
        </is>
      </c>
      <c r="E8" s="3" t="inlineStr"/>
    </row>
    <row r="9"/>
    <row r="10"/>
    <row r="11"/>
    <row r="12"/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4" customWidth="1" min="4" max="4"/>
    <col width="34" customWidth="1" min="5" max="5"/>
  </cols>
  <sheetData>
    <row r="1">
      <c r="A1" s="1" t="inlineStr">
        <is>
          <t>MWAA monthly cost — us-east-1 (Virginia)</t>
        </is>
      </c>
    </row>
    <row r="2">
      <c r="A2" t="inlineStr">
        <is>
          <t>Item</t>
        </is>
      </c>
      <c r="B2" t="inlineStr">
        <is>
          <t>Min</t>
        </is>
      </c>
      <c r="C2" t="inlineStr">
        <is>
          <t>Max</t>
        </is>
      </c>
      <c r="D2" t="inlineStr">
        <is>
          <t>Unit</t>
        </is>
      </c>
      <c r="E2" t="inlineStr">
        <is>
          <t>Formula/Notes</t>
        </is>
      </c>
    </row>
    <row r="3">
      <c r="A3" s="2" t="n"/>
      <c r="B3" s="2" t="n"/>
      <c r="C3" s="2" t="n"/>
      <c r="D3" s="2" t="n"/>
      <c r="E3" s="2" t="n"/>
    </row>
    <row r="4">
      <c r="A4" s="3" t="inlineStr">
        <is>
          <t>MWAA environment</t>
        </is>
      </c>
      <c r="B4" s="5">
        <f>input!C28*input!C22</f>
        <v/>
      </c>
      <c r="C4" s="5">
        <f>input!D28*input!D22</f>
        <v/>
      </c>
      <c r="D4" s="3" t="inlineStr">
        <is>
          <t>$/month</t>
        </is>
      </c>
      <c r="E4" s="3" t="inlineStr">
        <is>
          <t>rate×hours</t>
        </is>
      </c>
    </row>
    <row r="5">
      <c r="A5" s="3" t="inlineStr">
        <is>
          <t>MWAA misc</t>
        </is>
      </c>
      <c r="B5" s="5">
        <f>input!C29</f>
        <v/>
      </c>
      <c r="C5" s="5">
        <f>input!D29</f>
        <v/>
      </c>
      <c r="D5" s="3" t="inlineStr">
        <is>
          <t>$/month</t>
        </is>
      </c>
      <c r="E5" s="3" t="inlineStr">
        <is>
          <t>placeholder</t>
        </is>
      </c>
    </row>
    <row r="6">
      <c r="A6" s="3" t="inlineStr">
        <is>
          <t>Total MWAA</t>
        </is>
      </c>
      <c r="B6" s="5">
        <f>B4+B5</f>
        <v/>
      </c>
      <c r="C6" s="5">
        <f>C4+C5</f>
        <v/>
      </c>
      <c r="D6" s="3" t="inlineStr">
        <is>
          <t>$/month</t>
        </is>
      </c>
      <c r="E6" s="3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4" customWidth="1" min="4" max="4"/>
    <col width="34" customWidth="1" min="5" max="5"/>
  </cols>
  <sheetData>
    <row r="1">
      <c r="A1" s="1" t="inlineStr">
        <is>
          <t>Airflow self-managed monthly cost — us-east-1</t>
        </is>
      </c>
    </row>
    <row r="2">
      <c r="A2" t="inlineStr">
        <is>
          <t>Item</t>
        </is>
      </c>
      <c r="B2" t="inlineStr">
        <is>
          <t>Min</t>
        </is>
      </c>
      <c r="C2" t="inlineStr">
        <is>
          <t>Max</t>
        </is>
      </c>
      <c r="D2" t="inlineStr">
        <is>
          <t>Unit</t>
        </is>
      </c>
      <c r="E2" t="inlineStr">
        <is>
          <t>Formula/Notes</t>
        </is>
      </c>
    </row>
    <row r="3">
      <c r="A3" s="2" t="n"/>
      <c r="B3" s="2" t="n"/>
      <c r="C3" s="2" t="n"/>
      <c r="D3" s="2" t="n"/>
      <c r="E3" s="2" t="n"/>
    </row>
    <row r="4">
      <c r="A4" s="3" t="inlineStr">
        <is>
          <t>EC2 compute</t>
        </is>
      </c>
      <c r="B4" s="5">
        <f>input!C23*input!C24*input!C22</f>
        <v/>
      </c>
      <c r="C4" s="5">
        <f>input!D23*input!D24*input!D22</f>
        <v/>
      </c>
      <c r="D4" s="3" t="inlineStr">
        <is>
          <t>$/month</t>
        </is>
      </c>
      <c r="E4" s="3" t="inlineStr">
        <is>
          <t>instances×$/hr×hrs</t>
        </is>
      </c>
    </row>
    <row r="5">
      <c r="A5" s="3" t="inlineStr">
        <is>
          <t>EBS storage</t>
        </is>
      </c>
      <c r="B5" s="5">
        <f>input!C23*input!C25*input!C26</f>
        <v/>
      </c>
      <c r="C5" s="5">
        <f>input!D23*input!D25*input!D26</f>
        <v/>
      </c>
      <c r="D5" s="3" t="inlineStr">
        <is>
          <t>$/month</t>
        </is>
      </c>
      <c r="E5" s="3" t="inlineStr">
        <is>
          <t>instances×GB×rate</t>
        </is>
      </c>
    </row>
    <row r="6">
      <c r="A6" s="3" t="inlineStr">
        <is>
          <t>Misc infra</t>
        </is>
      </c>
      <c r="B6" s="5">
        <f>input!C27</f>
        <v/>
      </c>
      <c r="C6" s="5">
        <f>input!D27</f>
        <v/>
      </c>
      <c r="D6" s="3" t="inlineStr">
        <is>
          <t>$/month</t>
        </is>
      </c>
      <c r="E6" s="3" t="inlineStr">
        <is>
          <t>placeholder</t>
        </is>
      </c>
    </row>
    <row r="7">
      <c r="A7" s="3" t="inlineStr">
        <is>
          <t>Total Airflow self-managed</t>
        </is>
      </c>
      <c r="B7" s="5">
        <f>B4+B5+B6</f>
        <v/>
      </c>
      <c r="C7" s="5">
        <f>C4+C5+C6</f>
        <v/>
      </c>
      <c r="D7" s="3" t="inlineStr">
        <is>
          <t>$/month</t>
        </is>
      </c>
      <c r="E7" s="3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4" customWidth="1" min="4" max="4"/>
    <col width="28" customWidth="1" min="5" max="5"/>
  </cols>
  <sheetData>
    <row r="1">
      <c r="A1" s="1" t="inlineStr">
        <is>
          <t>Budget summary — Databricks + Airflow (us-east-1)</t>
        </is>
      </c>
    </row>
    <row r="2">
      <c r="A2" t="inlineStr">
        <is>
          <t>Scenario</t>
        </is>
      </c>
      <c r="B2" t="inlineStr">
        <is>
          <t>Min</t>
        </is>
      </c>
      <c r="C2" t="inlineStr">
        <is>
          <t>Max</t>
        </is>
      </c>
      <c r="D2" t="inlineStr">
        <is>
          <t>Unit</t>
        </is>
      </c>
      <c r="E2" t="inlineStr">
        <is>
          <t>Notes</t>
        </is>
      </c>
    </row>
    <row r="3">
      <c r="A3" s="2" t="n"/>
      <c r="B3" s="2" t="n"/>
      <c r="C3" s="2" t="n"/>
      <c r="D3" s="2" t="n"/>
      <c r="E3" s="2" t="n"/>
    </row>
    <row r="4">
      <c r="A4" s="3" t="inlineStr">
        <is>
          <t>Databricks compute total</t>
        </is>
      </c>
      <c r="B4" s="5">
        <f>databricks_compute_budget!B8</f>
        <v/>
      </c>
      <c r="C4" s="5">
        <f>databricks_compute_budget!C8</f>
        <v/>
      </c>
      <c r="D4" s="3" t="inlineStr">
        <is>
          <t>$/month</t>
        </is>
      </c>
      <c r="E4" s="3" t="inlineStr"/>
    </row>
    <row r="5">
      <c r="A5" s="3" t="inlineStr">
        <is>
          <t>Airflow self-managed total</t>
        </is>
      </c>
      <c r="B5" s="5">
        <f>airflow!B7</f>
        <v/>
      </c>
      <c r="C5" s="5">
        <f>airflow!C7</f>
        <v/>
      </c>
      <c r="D5" s="3" t="inlineStr">
        <is>
          <t>$/month</t>
        </is>
      </c>
      <c r="E5" s="3" t="inlineStr"/>
    </row>
    <row r="6">
      <c r="A6" s="3" t="inlineStr">
        <is>
          <t>MWAA total (alternative)</t>
        </is>
      </c>
      <c r="B6" s="5">
        <f>mwaa!B6</f>
        <v/>
      </c>
      <c r="C6" s="5">
        <f>mwaa!C6</f>
        <v/>
      </c>
      <c r="D6" s="3" t="inlineStr">
        <is>
          <t>$/month</t>
        </is>
      </c>
      <c r="E6" s="3" t="inlineStr"/>
    </row>
    <row r="7">
      <c r="A7" s="3" t="inlineStr">
        <is>
          <t>Total (Databricks + self-managed Airflow)</t>
        </is>
      </c>
      <c r="B7" s="5">
        <f>B4+B5</f>
        <v/>
      </c>
      <c r="C7" s="5">
        <f>C4+C5</f>
        <v/>
      </c>
      <c r="D7" s="3" t="inlineStr">
        <is>
          <t>$/month</t>
        </is>
      </c>
      <c r="E7" s="3" t="inlineStr"/>
    </row>
    <row r="8">
      <c r="A8" s="3" t="inlineStr">
        <is>
          <t>Total (Databricks + MWAA)</t>
        </is>
      </c>
      <c r="B8" s="5">
        <f>B4+B6</f>
        <v/>
      </c>
      <c r="C8" s="5">
        <f>C4+C6</f>
        <v/>
      </c>
      <c r="D8" s="3" t="inlineStr">
        <is>
          <t>$/month</t>
        </is>
      </c>
      <c r="E8" s="3" t="inlineStr"/>
    </row>
    <row r="9">
      <c r="A9" s="3" t="inlineStr">
        <is>
          <t>Annual (Databricks + self-managed Airflow)</t>
        </is>
      </c>
      <c r="B9" s="5">
        <f>B7*12</f>
        <v/>
      </c>
      <c r="C9" s="5">
        <f>C7*12</f>
        <v/>
      </c>
      <c r="D9" s="3" t="inlineStr">
        <is>
          <t>$/year</t>
        </is>
      </c>
      <c r="E9" s="3" t="inlineStr"/>
    </row>
    <row r="10">
      <c r="A10" s="3" t="inlineStr">
        <is>
          <t>Annual (Databricks + MWAA)</t>
        </is>
      </c>
      <c r="B10" s="5">
        <f>B8*12</f>
        <v/>
      </c>
      <c r="C10" s="5">
        <f>C8*12</f>
        <v/>
      </c>
      <c r="D10" s="3" t="inlineStr">
        <is>
          <t>$/year</t>
        </is>
      </c>
      <c r="E10" s="3" t="inlineStr"/>
    </row>
    <row r="11"/>
    <row r="12"/>
    <row r="13"/>
    <row r="14"/>
    <row r="15"/>
    <row r="16"/>
    <row r="17"/>
    <row r="18"/>
    <row r="19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2026-02-13T05:50:03Z</dcterms:created>
  <dcterms:modified xmlns:dcterms="http://purl.org/dc/terms/" xmlns:xsi="http://www.w3.org/2001/XMLSchema-instance" xsi:type="dcterms:W3CDTF">2026-02-13T06:03:43Z</dcterms:modified>
</cp:coreProperties>
</file>